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BOOT-STRAP" sheetId="1" state="visible" r:id="rId4"/>
    <sheet name="NOTES" sheetId="2" state="visible" r:id="rId5"/>
    <sheet name="MEMORY" sheetId="3" state="visible" r:id="rId6"/>
    <sheet name="INSTRUCTIONS" sheetId="4" state="visible" r:id="rId7"/>
    <sheet name="KERNAL" sheetId="5" state="visible" r:id="rId8"/>
  </sheets>
  <definedNames>
    <definedName function="false" hidden="true" name="_xleta.LEN" vbProcedure="false">#NAME?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<sst xmlns="http://schemas.openxmlformats.org/spreadsheetml/2006/main" count="808" uniqueCount="520">
  <si>
    <t xml:space="preserve">HEX</t>
  </si>
  <si>
    <t xml:space="preserve">DEC</t>
  </si>
  <si>
    <t xml:space="preserve">CODE</t>
  </si>
  <si>
    <t xml:space="preserve">LABEL</t>
  </si>
  <si>
    <t xml:space="preserve">INST</t>
  </si>
  <si>
    <t xml:space="preserve">OPER</t>
  </si>
  <si>
    <t xml:space="preserve">INDEX</t>
  </si>
  <si>
    <t xml:space="preserve">COMMENT</t>
  </si>
  <si>
    <t xml:space="preserve">A000</t>
  </si>
  <si>
    <t xml:space="preserve">A A000 LDA #$01</t>
  </si>
  <si>
    <t xml:space="preserve">INIT</t>
  </si>
  <si>
    <t xml:space="preserve">LDA</t>
  </si>
  <si>
    <t xml:space="preserve">#$01</t>
  </si>
  <si>
    <t xml:space="preserve">load 01 into AC (logical)</t>
  </si>
  <si>
    <t xml:space="preserve">A002</t>
  </si>
  <si>
    <t xml:space="preserve">LDX #$08</t>
  </si>
  <si>
    <t xml:space="preserve">LDX</t>
  </si>
  <si>
    <t xml:space="preserve">#$08</t>
  </si>
  <si>
    <t xml:space="preserve">load 08 into XR (device, 08 = disk)</t>
  </si>
  <si>
    <t xml:space="preserve">A004</t>
  </si>
  <si>
    <t xml:space="preserve">LDY #$03</t>
  </si>
  <si>
    <t xml:space="preserve">LDY</t>
  </si>
  <si>
    <t xml:space="preserve">#$03</t>
  </si>
  <si>
    <t xml:space="preserve">load 03 into YR (command)</t>
  </si>
  <si>
    <t xml:space="preserve">A006</t>
  </si>
  <si>
    <t xml:space="preserve">JSR $FFBA</t>
  </si>
  <si>
    <t xml:space="preserve">JSR</t>
  </si>
  <si>
    <t xml:space="preserve">$FFBA</t>
  </si>
  <si>
    <t xml:space="preserve">call SETLFS</t>
  </si>
  <si>
    <t xml:space="preserve">A009</t>
  </si>
  <si>
    <t xml:space="preserve">LDA $FD</t>
  </si>
  <si>
    <t xml:space="preserve">$FD</t>
  </si>
  <si>
    <t xml:space="preserve">load value from FD (253) which contains our switch value</t>
  </si>
  <si>
    <t xml:space="preserve">A00B</t>
  </si>
  <si>
    <t xml:space="preserve">CMP #$01</t>
  </si>
  <si>
    <t xml:space="preserve">CMP</t>
  </si>
  <si>
    <t xml:space="preserve">compare AC to 00</t>
  </si>
  <si>
    <t xml:space="preserve">A00D</t>
  </si>
  <si>
    <t xml:space="preserve">BEQ $A024</t>
  </si>
  <si>
    <t xml:space="preserve">BEQ</t>
  </si>
  <si>
    <t xml:space="preserve">%BBS</t>
  </si>
  <si>
    <t xml:space="preserve">if one, branch to BBS</t>
  </si>
  <si>
    <t xml:space="preserve">A00F</t>
  </si>
  <si>
    <t xml:space="preserve">CMP #$02</t>
  </si>
  <si>
    <t xml:space="preserve">#$02</t>
  </si>
  <si>
    <t xml:space="preserve">compare AC to 01</t>
  </si>
  <si>
    <t xml:space="preserve">A011</t>
  </si>
  <si>
    <t xml:space="preserve">BEQ $A02D</t>
  </si>
  <si>
    <t xml:space="preserve">%GAMES</t>
  </si>
  <si>
    <t xml:space="preserve">if two, branch to GAMES</t>
  </si>
  <si>
    <t xml:space="preserve">A013</t>
  </si>
  <si>
    <t xml:space="preserve">CMP #$03</t>
  </si>
  <si>
    <t xml:space="preserve">compare AC to 03</t>
  </si>
  <si>
    <t xml:space="preserve">A015</t>
  </si>
  <si>
    <t xml:space="preserve">BEQ $A036</t>
  </si>
  <si>
    <t xml:space="preserve">%EDITOR</t>
  </si>
  <si>
    <t xml:space="preserve">if three, branch to EDITOR</t>
  </si>
  <si>
    <t xml:space="preserve">A017</t>
  </si>
  <si>
    <t xml:space="preserve">CMP #$04</t>
  </si>
  <si>
    <t xml:space="preserve">#$04</t>
  </si>
  <si>
    <t xml:space="preserve">compare AC to 04</t>
  </si>
  <si>
    <t xml:space="preserve">A019</t>
  </si>
  <si>
    <t xml:space="preserve">BEQ $A03F</t>
  </si>
  <si>
    <t xml:space="preserve">%FILES</t>
  </si>
  <si>
    <t xml:space="preserve">if four, branch to FILES</t>
  </si>
  <si>
    <t xml:space="preserve">A01B</t>
  </si>
  <si>
    <t xml:space="preserve">CMP #$05</t>
  </si>
  <si>
    <t xml:space="preserve">#$05</t>
  </si>
  <si>
    <t xml:space="preserve">compare AC to 05</t>
  </si>
  <si>
    <t xml:space="preserve">A01D</t>
  </si>
  <si>
    <t xml:space="preserve">BEQ $A048</t>
  </si>
  <si>
    <t xml:space="preserve">%RSA</t>
  </si>
  <si>
    <t xml:space="preserve">if five, branch to RSA</t>
  </si>
  <si>
    <t xml:space="preserve">A01F</t>
  </si>
  <si>
    <t xml:space="preserve">CMP #$06</t>
  </si>
  <si>
    <t xml:space="preserve">#$06</t>
  </si>
  <si>
    <t xml:space="preserve">compare AC to 06</t>
  </si>
  <si>
    <t xml:space="preserve">A021</t>
  </si>
  <si>
    <t xml:space="preserve">BEQ $A051</t>
  </si>
  <si>
    <t xml:space="preserve">%SYSOP</t>
  </si>
  <si>
    <t xml:space="preserve">if six, branch to SYSOP</t>
  </si>
  <si>
    <t xml:space="preserve">A023</t>
  </si>
  <si>
    <t xml:space="preserve">RTS </t>
  </si>
  <si>
    <t xml:space="preserve">RTS</t>
  </si>
  <si>
    <t xml:space="preserve">otherwise return from subroutine</t>
  </si>
  <si>
    <t xml:space="preserve">A024</t>
  </si>
  <si>
    <t xml:space="preserve">LDA #$03</t>
  </si>
  <si>
    <t xml:space="preserve">BBS</t>
  </si>
  <si>
    <t xml:space="preserve">@BBS(LEN)</t>
  </si>
  <si>
    <t xml:space="preserve">load length of BBS into AC</t>
  </si>
  <si>
    <t xml:space="preserve">A026</t>
  </si>
  <si>
    <t xml:space="preserve">LDX #$E3</t>
  </si>
  <si>
    <t xml:space="preserve">@BBS(LO)</t>
  </si>
  <si>
    <t xml:space="preserve">load lo byte of BBS into XR</t>
  </si>
  <si>
    <t xml:space="preserve">A028</t>
  </si>
  <si>
    <t xml:space="preserve">LDY #$A0</t>
  </si>
  <si>
    <t xml:space="preserve">@BBS(HI)</t>
  </si>
  <si>
    <t xml:space="preserve">load hi byte of BBS into YR</t>
  </si>
  <si>
    <t xml:space="preserve">A02A</t>
  </si>
  <si>
    <t xml:space="preserve">JMP $A057</t>
  </si>
  <si>
    <t xml:space="preserve">JMP</t>
  </si>
  <si>
    <t xml:space="preserve">%BOOTSTRAP</t>
  </si>
  <si>
    <t xml:space="preserve">jump to BOOTSTRAP</t>
  </si>
  <si>
    <t xml:space="preserve">A02D</t>
  </si>
  <si>
    <t xml:space="preserve">LDA #$05</t>
  </si>
  <si>
    <t xml:space="preserve">GAMES</t>
  </si>
  <si>
    <t xml:space="preserve">@GAMES(LEN)</t>
  </si>
  <si>
    <t xml:space="preserve">load length of GAMES into AC</t>
  </si>
  <si>
    <t xml:space="preserve">A02F</t>
  </si>
  <si>
    <t xml:space="preserve">LDX #$E6</t>
  </si>
  <si>
    <t xml:space="preserve">@GAMES(LO)</t>
  </si>
  <si>
    <t xml:space="preserve">load lo byte of GAMES into XR</t>
  </si>
  <si>
    <t xml:space="preserve">A031</t>
  </si>
  <si>
    <t xml:space="preserve">@GAMES(HI)</t>
  </si>
  <si>
    <t xml:space="preserve">load hi byte of GAMES into YR</t>
  </si>
  <si>
    <t xml:space="preserve">A033</t>
  </si>
  <si>
    <t xml:space="preserve">A036</t>
  </si>
  <si>
    <t xml:space="preserve">LDA #$06</t>
  </si>
  <si>
    <t xml:space="preserve">EDITOR</t>
  </si>
  <si>
    <t xml:space="preserve">@EDITOR(LEN)</t>
  </si>
  <si>
    <t xml:space="preserve">load length of EDITOR into AC</t>
  </si>
  <si>
    <t xml:space="preserve">A038</t>
  </si>
  <si>
    <t xml:space="preserve">LDX #$EB</t>
  </si>
  <si>
    <t xml:space="preserve">@EDITOR(LO)</t>
  </si>
  <si>
    <t xml:space="preserve">load lo byte of EDITOR into XR</t>
  </si>
  <si>
    <t xml:space="preserve">A03A</t>
  </si>
  <si>
    <t xml:space="preserve">@EDITOR(HI)</t>
  </si>
  <si>
    <t xml:space="preserve">load hi byte of EDITOR into YR</t>
  </si>
  <si>
    <t xml:space="preserve">A03C</t>
  </si>
  <si>
    <t xml:space="preserve">A03F</t>
  </si>
  <si>
    <t xml:space="preserve">FILES</t>
  </si>
  <si>
    <t xml:space="preserve">@FILES(LEN)</t>
  </si>
  <si>
    <t xml:space="preserve">load length of FILES into AC</t>
  </si>
  <si>
    <t xml:space="preserve">A041</t>
  </si>
  <si>
    <t xml:space="preserve">LDX #$F1</t>
  </si>
  <si>
    <t xml:space="preserve">@FILES(LO)</t>
  </si>
  <si>
    <t xml:space="preserve">load lo byte of FILES into XR</t>
  </si>
  <si>
    <t xml:space="preserve">A043</t>
  </si>
  <si>
    <t xml:space="preserve">@FILES(HI)</t>
  </si>
  <si>
    <t xml:space="preserve">load hi byte of FILES into YR</t>
  </si>
  <si>
    <t xml:space="preserve">A045</t>
  </si>
  <si>
    <t xml:space="preserve">A048</t>
  </si>
  <si>
    <t xml:space="preserve">RSA</t>
  </si>
  <si>
    <t xml:space="preserve">@RSA(LEN)</t>
  </si>
  <si>
    <t xml:space="preserve">load length of RSA into AC</t>
  </si>
  <si>
    <t xml:space="preserve">A04A</t>
  </si>
  <si>
    <t xml:space="preserve">LDX #$F6</t>
  </si>
  <si>
    <t xml:space="preserve">@RSA(LO)</t>
  </si>
  <si>
    <t xml:space="preserve">load lo byte of RSA into XR</t>
  </si>
  <si>
    <t xml:space="preserve">A04C</t>
  </si>
  <si>
    <t xml:space="preserve">@RSA(HI)</t>
  </si>
  <si>
    <t xml:space="preserve">load hi byte of RSA into YR</t>
  </si>
  <si>
    <t xml:space="preserve">A04E</t>
  </si>
  <si>
    <t xml:space="preserve">A051</t>
  </si>
  <si>
    <t xml:space="preserve">SYSOP</t>
  </si>
  <si>
    <t xml:space="preserve">@SYSOP(LEN)</t>
  </si>
  <si>
    <t xml:space="preserve">load length of SYSOP into AC</t>
  </si>
  <si>
    <t xml:space="preserve">A053</t>
  </si>
  <si>
    <t xml:space="preserve">LDX #$F9</t>
  </si>
  <si>
    <t xml:space="preserve">@SYSOP(LO)</t>
  </si>
  <si>
    <t xml:space="preserve">load lo byte of SYSOP into XR</t>
  </si>
  <si>
    <t xml:space="preserve">A055</t>
  </si>
  <si>
    <t xml:space="preserve">@SYSOP(HI)</t>
  </si>
  <si>
    <t xml:space="preserve">load hi byte of SYSOP into YR</t>
  </si>
  <si>
    <t xml:space="preserve">A057</t>
  </si>
  <si>
    <t xml:space="preserve">JSR $FFBD</t>
  </si>
  <si>
    <t xml:space="preserve">BOOTSTRAP</t>
  </si>
  <si>
    <t xml:space="preserve">$FFBD</t>
  </si>
  <si>
    <t xml:space="preserve">call SETNAM</t>
  </si>
  <si>
    <t xml:space="preserve">A05A</t>
  </si>
  <si>
    <t xml:space="preserve">LDA #$00</t>
  </si>
  <si>
    <t xml:space="preserve">#$00</t>
  </si>
  <si>
    <t xml:space="preserve">load zero into AC = LOAD</t>
  </si>
  <si>
    <t xml:space="preserve">A05C</t>
  </si>
  <si>
    <t xml:space="preserve">JSR $FFD5</t>
  </si>
  <si>
    <t xml:space="preserve">$FFD5</t>
  </si>
  <si>
    <t xml:space="preserve">call LOAD</t>
  </si>
  <si>
    <t xml:space="preserve">A05F</t>
  </si>
  <si>
    <t xml:space="preserve">JMP $120D</t>
  </si>
  <si>
    <t xml:space="preserve">$120D</t>
  </si>
  <si>
    <t xml:space="preserve">jump to program (good luck!)</t>
  </si>
  <si>
    <t xml:space="preserve">VARIABLES</t>
  </si>
  <si>
    <t xml:space="preserve">START</t>
  </si>
  <si>
    <t xml:space="preserve">END</t>
  </si>
  <si>
    <t xml:space="preserve">NAME</t>
  </si>
  <si>
    <t xml:space="preserve">LEN</t>
  </si>
  <si>
    <t xml:space="preserve">VALUE</t>
  </si>
  <si>
    <t xml:space="preserve">A0E3</t>
  </si>
  <si>
    <t xml:space="preserve">A0E5</t>
  </si>
  <si>
    <t xml:space="preserve">f A0E3 A0E5 42,42,53</t>
  </si>
  <si>
    <t xml:space="preserve">A0E6</t>
  </si>
  <si>
    <t xml:space="preserve">A0EA</t>
  </si>
  <si>
    <t xml:space="preserve">f A0E6 A0EA 47,41,4D,45,53</t>
  </si>
  <si>
    <t xml:space="preserve">A0EB</t>
  </si>
  <si>
    <t xml:space="preserve">A0F0</t>
  </si>
  <si>
    <t xml:space="preserve">f A0EB A0F0 45,44,49,54,4F,52</t>
  </si>
  <si>
    <t xml:space="preserve">A0F1</t>
  </si>
  <si>
    <t xml:space="preserve">A0F5</t>
  </si>
  <si>
    <t xml:space="preserve">f A0F1 A0F5 46,49,4C,45,53</t>
  </si>
  <si>
    <t xml:space="preserve">A0F6</t>
  </si>
  <si>
    <t xml:space="preserve">A0F8</t>
  </si>
  <si>
    <t xml:space="preserve">f A0F6 A0F8 52,53,41</t>
  </si>
  <si>
    <t xml:space="preserve">A0FD</t>
  </si>
  <si>
    <t xml:space="preserve">f A0F9 A0FD 53,59,53,4F,50</t>
  </si>
  <si>
    <t xml:space="preserve">TIPS:</t>
  </si>
  <si>
    <t xml:space="preserve">CTRL + R = create assembler listing (column C… CODE)</t>
  </si>
  <si>
    <t xml:space="preserve">save CODE to text file on hard drive</t>
  </si>
  <si>
    <t xml:space="preserve">in Monitor, use command: playback {filename}</t>
  </si>
  <si>
    <t xml:space="preserve">set SOV (POKE 45,B5, POKE 46,C5) and then SAVE</t>
  </si>
  <si>
    <t xml:space="preserve">^HIGH^</t>
  </si>
  <si>
    <t xml:space="preserve">MEMORY MAP (UNEXPANDED)</t>
  </si>
  <si>
    <t xml:space="preserve">SIZE</t>
  </si>
  <si>
    <t xml:space="preserve">1000: BASIC STUB</t>
  </si>
  <si>
    <t xml:space="preserve">1029: BBS ML CODE</t>
  </si>
  <si>
    <t xml:space="preserve">100D</t>
  </si>
  <si>
    <t xml:space="preserve">1BFC: FREE SPACE</t>
  </si>
  <si>
    <t xml:space="preserve">1BFF</t>
  </si>
  <si>
    <t xml:space="preserve">1C00: MODEM BUFFER</t>
  </si>
  <si>
    <t xml:space="preserve">1C00</t>
  </si>
  <si>
    <t xml:space="preserve">1E00: TOP OF RAM</t>
  </si>
  <si>
    <t xml:space="preserve">1E00</t>
  </si>
  <si>
    <t xml:space="preserve">MEMORY MAP (EXPANDED)</t>
  </si>
  <si>
    <t xml:space="preserve">1200: BASIC STUB</t>
  </si>
  <si>
    <t xml:space="preserve">120D</t>
  </si>
  <si>
    <t xml:space="preserve">1DFF</t>
  </si>
  <si>
    <t xml:space="preserve">7E00</t>
  </si>
  <si>
    <t xml:space="preserve">8000</t>
  </si>
  <si>
    <t xml:space="preserve">SPECIAL CHARACTERS</t>
  </si>
  <si>
    <t xml:space="preserve"># = immediate mode value (ie: #$0D)</t>
  </si>
  <si>
    <t xml:space="preserve">@ = use variable memory location (ie: @HELLO)</t>
  </si>
  <si>
    <t xml:space="preserve">@ = @XXX(LEN), @XXX(HI), @XXX(LO) for parts of variable</t>
  </si>
  <si>
    <t xml:space="preserve">% = use label address</t>
  </si>
  <si>
    <t xml:space="preserve">$ = use address specified (ie: $FFD2)</t>
  </si>
  <si>
    <t xml:space="preserve">\ = use char number specified instead of char (ie: \0D)</t>
  </si>
  <si>
    <t xml:space="preserve">BBS KERNEL</t>
  </si>
  <si>
    <t xml:space="preserve">PRINTLINE – prep by loading LO/HI into $FE and $FF, </t>
  </si>
  <si>
    <t xml:space="preserve">and length of string into LEN, then call PRINTLINE</t>
  </si>
  <si>
    <t xml:space="preserve">PAUSE – load X with number of iterations, then JSR</t>
  </si>
  <si>
    <t xml:space="preserve">FLAGS</t>
  </si>
  <si>
    <t xml:space="preserve">Bit 1 - 01 - 001 &gt; carrier detect</t>
  </si>
  <si>
    <t xml:space="preserve">Bit 2 - 02 - 002 &gt; file error</t>
  </si>
  <si>
    <t xml:space="preserve">Bit 3 - 04 - 004 &gt; filter input</t>
  </si>
  <si>
    <t xml:space="preserve">Bit 4 - 08 - 008 &gt; supress CR on PRINT</t>
  </si>
  <si>
    <t xml:space="preserve">Bit 5 - 10 - 016 &gt; local mode</t>
  </si>
  <si>
    <t xml:space="preserve">Bit 6 - 20 - 032 &gt; ?</t>
  </si>
  <si>
    <t xml:space="preserve">Bit 7 - 40 - 064 &gt; ?</t>
  </si>
  <si>
    <t xml:space="preserve">Bit 8 - 80 - 128 &gt; ?</t>
  </si>
  <si>
    <t xml:space="preserve">MEMORY MAP - UNEXPANDED OR +BLOCK 0</t>
  </si>
  <si>
    <t xml:space="preserve">CONTENTS</t>
  </si>
  <si>
    <t xml:space="preserve">Operating System</t>
  </si>
  <si>
    <t xml:space="preserve">Cassette Buffer</t>
  </si>
  <si>
    <t xml:space="preserve">Expansion RAM (BLOCK 0 - 3K)</t>
  </si>
  <si>
    <t xml:space="preserve">BASIC RAM</t>
  </si>
  <si>
    <t xml:space="preserve">Screen RAM</t>
  </si>
  <si>
    <t xml:space="preserve">Expansion Ram (BLOCKS 1, 2, 3 - 8K each)</t>
  </si>
  <si>
    <t xml:space="preserve">Color RAM</t>
  </si>
  <si>
    <t xml:space="preserve">System ROM</t>
  </si>
  <si>
    <t xml:space="preserve">MEMORY MAP - EXPANDED (BLOCKS 1,2,3)</t>
  </si>
  <si>
    <t xml:space="preserve">BASIC RAM (with all 3 blocks installed)</t>
  </si>
  <si>
    <t xml:space="preserve">MEMORY MAP - CC65</t>
  </si>
  <si>
    <t xml:space="preserve">120C</t>
  </si>
  <si>
    <t xml:space="preserve">BASIC Stub</t>
  </si>
  <si>
    <t xml:space="preserve">75FF</t>
  </si>
  <si>
    <t xml:space="preserve">Main Memory (code followed by growing heap)</t>
  </si>
  <si>
    <t xml:space="preserve">7DFF</t>
  </si>
  <si>
    <t xml:space="preserve">Stack grows downwards (2K max)</t>
  </si>
  <si>
    <t xml:space="preserve">7FFF</t>
  </si>
  <si>
    <t xml:space="preserve">RS-232 I/O Buffers</t>
  </si>
  <si>
    <t xml:space="preserve">POINTERS</t>
  </si>
  <si>
    <t xml:space="preserve">SOB - Start of Basic</t>
  </si>
  <si>
    <t xml:space="preserve">Insert your BASIC stub (ie: SYS 1032) and your ML here! Regular save/load will work.</t>
  </si>
  <si>
    <t xml:space="preserve">SOV - Start of Variables</t>
  </si>
  <si>
    <t xml:space="preserve">SOA - Start of Arrays</t>
  </si>
  <si>
    <t xml:space="preserve">EOA - End of Arrays</t>
  </si>
  <si>
    <t xml:space="preserve">BOS - Bottom of Strings</t>
  </si>
  <si>
    <t xml:space="preserve">TOM - Top of Memory</t>
  </si>
  <si>
    <t xml:space="preserve">REGISTERS</t>
  </si>
  <si>
    <t xml:space="preserve">PC:</t>
  </si>
  <si>
    <t xml:space="preserve">Program Counter</t>
  </si>
  <si>
    <t xml:space="preserve">SR:</t>
  </si>
  <si>
    <t xml:space="preserve">Status Register</t>
  </si>
  <si>
    <t xml:space="preserve">AC:</t>
  </si>
  <si>
    <t xml:space="preserve">Accumulator</t>
  </si>
  <si>
    <t xml:space="preserve">XR:</t>
  </si>
  <si>
    <t xml:space="preserve">Data Register</t>
  </si>
  <si>
    <t xml:space="preserve">YR:</t>
  </si>
  <si>
    <t xml:space="preserve">SP:</t>
  </si>
  <si>
    <t xml:space="preserve">Stack Pointer</t>
  </si>
  <si>
    <t xml:space="preserve">DESCRIPTION</t>
  </si>
  <si>
    <t xml:space="preserve">IP</t>
  </si>
  <si>
    <t xml:space="preserve">IM</t>
  </si>
  <si>
    <t xml:space="preserve">ZP</t>
  </si>
  <si>
    <t xml:space="preserve">RL</t>
  </si>
  <si>
    <t xml:space="preserve">AB</t>
  </si>
  <si>
    <t xml:space="preserve">IN</t>
  </si>
  <si>
    <t xml:space="preserve">ID</t>
  </si>
  <si>
    <t xml:space="preserve">MODE</t>
  </si>
  <si>
    <t xml:space="preserve">FORMAT</t>
  </si>
  <si>
    <t xml:space="preserve">BYTES</t>
  </si>
  <si>
    <t xml:space="preserve">EXAMPLE</t>
  </si>
  <si>
    <t xml:space="preserve">NOTE</t>
  </si>
  <si>
    <t xml:space="preserve">ADC</t>
  </si>
  <si>
    <t xml:space="preserve">Add mem to AC w/ carry</t>
  </si>
  <si>
    <t xml:space="preserve">■</t>
  </si>
  <si>
    <t xml:space="preserve">Implied</t>
  </si>
  <si>
    <t xml:space="preserve">XXX</t>
  </si>
  <si>
    <t xml:space="preserve">INX</t>
  </si>
  <si>
    <t xml:space="preserve">Increment X by 1</t>
  </si>
  <si>
    <t xml:space="preserve">AND</t>
  </si>
  <si>
    <t xml:space="preserve">"AND" mem with AC</t>
  </si>
  <si>
    <t xml:space="preserve">Immediate</t>
  </si>
  <si>
    <t xml:space="preserve">XXX # Oper</t>
  </si>
  <si>
    <t xml:space="preserve">LDA #$0D</t>
  </si>
  <si>
    <t xml:space="preserve">Load value $0D into AC</t>
  </si>
  <si>
    <t xml:space="preserve">ASL</t>
  </si>
  <si>
    <t xml:space="preserve">Shift left 1 bit (AC)</t>
  </si>
  <si>
    <t xml:space="preserve">Zero Page</t>
  </si>
  <si>
    <t xml:space="preserve">XXX Oper</t>
  </si>
  <si>
    <t xml:space="preserve">LDX $90</t>
  </si>
  <si>
    <t xml:space="preserve">Load XR with value in $90</t>
  </si>
  <si>
    <t xml:space="preserve">BCC</t>
  </si>
  <si>
    <t xml:space="preserve">Branch on Carry Clear (&lt;)</t>
  </si>
  <si>
    <t xml:space="preserve">ZP+ID</t>
  </si>
  <si>
    <t xml:space="preserve">Zero Page, X</t>
  </si>
  <si>
    <t xml:space="preserve">XXX Oper, X</t>
  </si>
  <si>
    <t xml:space="preserve">LDA $E0,X</t>
  </si>
  <si>
    <t xml:space="preserve">Load AC with value in $E0 plus X</t>
  </si>
  <si>
    <t xml:space="preserve">BCS</t>
  </si>
  <si>
    <t xml:space="preserve">Branch on Carry Set (&gt;=)</t>
  </si>
  <si>
    <t xml:space="preserve">Relative</t>
  </si>
  <si>
    <t xml:space="preserve">JMP $05</t>
  </si>
  <si>
    <t xml:space="preserve">Jump ahead 5 addresses</t>
  </si>
  <si>
    <t xml:space="preserve">Branch on Equal (=)</t>
  </si>
  <si>
    <t xml:space="preserve">Absolute</t>
  </si>
  <si>
    <t xml:space="preserve">JSR $FFD2</t>
  </si>
  <si>
    <t xml:space="preserve">Jump to subroutine at $FFD2</t>
  </si>
  <si>
    <t xml:space="preserve">BIT</t>
  </si>
  <si>
    <t xml:space="preserve">Bit test mem with AC</t>
  </si>
  <si>
    <t xml:space="preserve">AB+ID</t>
  </si>
  <si>
    <t xml:space="preserve">Absolute, X</t>
  </si>
  <si>
    <t xml:space="preserve">STA $033C, X</t>
  </si>
  <si>
    <t xml:space="preserve">Store AC in location $033C plus X</t>
  </si>
  <si>
    <t xml:space="preserve">BMI</t>
  </si>
  <si>
    <t xml:space="preserve">Branch on result minus</t>
  </si>
  <si>
    <t xml:space="preserve">Absolute, Y</t>
  </si>
  <si>
    <t xml:space="preserve">XXX Oper, Y</t>
  </si>
  <si>
    <t xml:space="preserve">STA $033C, Y</t>
  </si>
  <si>
    <t xml:space="preserve">Store AC in location $033C plus Y</t>
  </si>
  <si>
    <t xml:space="preserve">BNE</t>
  </si>
  <si>
    <t xml:space="preserve">Branch not Equal (!=)</t>
  </si>
  <si>
    <t xml:space="preserve">(Indirect)</t>
  </si>
  <si>
    <t xml:space="preserve">XXX (Oper)</t>
  </si>
  <si>
    <t xml:space="preserve">JMP ($0314)</t>
  </si>
  <si>
    <t xml:space="preserve">Jump to address pointed to in $0314</t>
  </si>
  <si>
    <t xml:space="preserve">BPL</t>
  </si>
  <si>
    <t xml:space="preserve">Branch on result plus</t>
  </si>
  <si>
    <t xml:space="preserve">ID+IN</t>
  </si>
  <si>
    <t xml:space="preserve">(Indirect, X)</t>
  </si>
  <si>
    <t xml:space="preserve">XXX (Oper, X)</t>
  </si>
  <si>
    <t xml:space="preserve">LDA ($C0, X)</t>
  </si>
  <si>
    <t xml:space="preserve">Load AC with value from address pointed to by $C0 and $C1 plus X</t>
  </si>
  <si>
    <t xml:space="preserve">BRK</t>
  </si>
  <si>
    <t xml:space="preserve">Force Break</t>
  </si>
  <si>
    <t xml:space="preserve">IN+ID</t>
  </si>
  <si>
    <t xml:space="preserve">(Indirect), Y</t>
  </si>
  <si>
    <t xml:space="preserve">XXX (Oper), Y</t>
  </si>
  <si>
    <t xml:space="preserve">LDA ($C0), Y</t>
  </si>
  <si>
    <t xml:space="preserve">Load AC with value from address pointed to by $C0  plus Y and $C1</t>
  </si>
  <si>
    <t xml:space="preserve">BVC</t>
  </si>
  <si>
    <t xml:space="preserve">Branch overflow clear</t>
  </si>
  <si>
    <t xml:space="preserve">BVS</t>
  </si>
  <si>
    <t xml:space="preserve">Branch overflow set</t>
  </si>
  <si>
    <t xml:space="preserve">Indexed Mode</t>
  </si>
  <si>
    <t xml:space="preserve">~</t>
  </si>
  <si>
    <t xml:space="preserve">Anything ,X or Y</t>
  </si>
  <si>
    <t xml:space="preserve">CLC</t>
  </si>
  <si>
    <t xml:space="preserve">Clear carry flag</t>
  </si>
  <si>
    <t xml:space="preserve">CLD</t>
  </si>
  <si>
    <t xml:space="preserve">Clear decimal mode</t>
  </si>
  <si>
    <t xml:space="preserve">NOTES</t>
  </si>
  <si>
    <t xml:space="preserve">CLI</t>
  </si>
  <si>
    <t xml:space="preserve">Clear INT disable bit</t>
  </si>
  <si>
    <t xml:space="preserve">instructions that don't have an address or value - ie: INX</t>
  </si>
  <si>
    <t xml:space="preserve">CLV</t>
  </si>
  <si>
    <t xml:space="preserve">Clear overflow flag</t>
  </si>
  <si>
    <t xml:space="preserve">instructions that use an 8-bit value or refer to a zero page address - ie: LDA $90 or LDA #$0D</t>
  </si>
  <si>
    <t xml:space="preserve">Compare AC to mem</t>
  </si>
  <si>
    <t xml:space="preserve">instructions that use a 16-bit memory address - ie: JSR $FFD2</t>
  </si>
  <si>
    <t xml:space="preserve">CPX</t>
  </si>
  <si>
    <t xml:space="preserve">Compare XR to mem</t>
  </si>
  <si>
    <t xml:space="preserve">CPY</t>
  </si>
  <si>
    <t xml:space="preserve">Compare YR to mem</t>
  </si>
  <si>
    <t xml:space="preserve">Decrement mem  by one</t>
  </si>
  <si>
    <t xml:space="preserve">DEX</t>
  </si>
  <si>
    <t xml:space="preserve">Decrement XR by one</t>
  </si>
  <si>
    <t xml:space="preserve">DEY</t>
  </si>
  <si>
    <t xml:space="preserve">Decrement YR by one</t>
  </si>
  <si>
    <t xml:space="preserve">EOR</t>
  </si>
  <si>
    <t xml:space="preserve">"Exclusive OR" - AC</t>
  </si>
  <si>
    <t xml:space="preserve">INC</t>
  </si>
  <si>
    <t xml:space="preserve">Increment mem by one</t>
  </si>
  <si>
    <t xml:space="preserve">Increment XR by one</t>
  </si>
  <si>
    <t xml:space="preserve">INY</t>
  </si>
  <si>
    <t xml:space="preserve">Increment YR by one</t>
  </si>
  <si>
    <t xml:space="preserve">Jump to location</t>
  </si>
  <si>
    <t xml:space="preserve">Jump to subroutine</t>
  </si>
  <si>
    <t xml:space="preserve">Load AC with mem</t>
  </si>
  <si>
    <t xml:space="preserve">Load XR with mem</t>
  </si>
  <si>
    <t xml:space="preserve">Load YR with mem</t>
  </si>
  <si>
    <t xml:space="preserve">LSR</t>
  </si>
  <si>
    <t xml:space="preserve">Shift AC right 1 bit</t>
  </si>
  <si>
    <t xml:space="preserve">NOP</t>
  </si>
  <si>
    <t xml:space="preserve">No operation</t>
  </si>
  <si>
    <t xml:space="preserve">ORA</t>
  </si>
  <si>
    <t xml:space="preserve">"OR" mem with AC</t>
  </si>
  <si>
    <t xml:space="preserve">PHA</t>
  </si>
  <si>
    <t xml:space="preserve">Push AC on stack</t>
  </si>
  <si>
    <t xml:space="preserve">PHP</t>
  </si>
  <si>
    <t xml:space="preserve">Push SR on stack</t>
  </si>
  <si>
    <t xml:space="preserve">PLA</t>
  </si>
  <si>
    <t xml:space="preserve">Pull AC from stack</t>
  </si>
  <si>
    <t xml:space="preserve">PLP</t>
  </si>
  <si>
    <t xml:space="preserve">Pull SR from stack</t>
  </si>
  <si>
    <t xml:space="preserve">ROL</t>
  </si>
  <si>
    <t xml:space="preserve">Rotate 1 bit left</t>
  </si>
  <si>
    <t xml:space="preserve">ROR</t>
  </si>
  <si>
    <t xml:space="preserve">Rotate 1 bit right</t>
  </si>
  <si>
    <t xml:space="preserve">RTI</t>
  </si>
  <si>
    <t xml:space="preserve">Return from INT</t>
  </si>
  <si>
    <t xml:space="preserve">Return from subroutine</t>
  </si>
  <si>
    <t xml:space="preserve">SBC</t>
  </si>
  <si>
    <t xml:space="preserve">Subtract mem from AC w/ borrow</t>
  </si>
  <si>
    <t xml:space="preserve">SEC</t>
  </si>
  <si>
    <t xml:space="preserve">Set carry flag</t>
  </si>
  <si>
    <t xml:space="preserve">SED</t>
  </si>
  <si>
    <t xml:space="preserve">Set decimal mode</t>
  </si>
  <si>
    <t xml:space="preserve">SEI</t>
  </si>
  <si>
    <t xml:space="preserve">Set INT disable status</t>
  </si>
  <si>
    <t xml:space="preserve">STA</t>
  </si>
  <si>
    <t xml:space="preserve">Store AC in mem</t>
  </si>
  <si>
    <t xml:space="preserve">STX</t>
  </si>
  <si>
    <t xml:space="preserve">Store XR in mem</t>
  </si>
  <si>
    <t xml:space="preserve">STY</t>
  </si>
  <si>
    <t xml:space="preserve">Store YR in mem</t>
  </si>
  <si>
    <t xml:space="preserve">TAX</t>
  </si>
  <si>
    <t xml:space="preserve">Transfer AC to XR</t>
  </si>
  <si>
    <t xml:space="preserve">TAY</t>
  </si>
  <si>
    <t xml:space="preserve">Transfer AC to YR</t>
  </si>
  <si>
    <t xml:space="preserve">TSX</t>
  </si>
  <si>
    <t xml:space="preserve">Transfer SP to XR</t>
  </si>
  <si>
    <t xml:space="preserve">TXA</t>
  </si>
  <si>
    <t xml:space="preserve">Transfer YR to AC</t>
  </si>
  <si>
    <t xml:space="preserve">TXS</t>
  </si>
  <si>
    <t xml:space="preserve">Transfer XR to SP</t>
  </si>
  <si>
    <t xml:space="preserve">TYA</t>
  </si>
  <si>
    <t xml:space="preserve">USES</t>
  </si>
  <si>
    <t xml:space="preserve">AFFECTS</t>
  </si>
  <si>
    <t xml:space="preserve">$FFC6</t>
  </si>
  <si>
    <t xml:space="preserve">CHKIN</t>
  </si>
  <si>
    <t xml:space="preserve">Open channel for input (put logical file # in XR)</t>
  </si>
  <si>
    <t xml:space="preserve">XR</t>
  </si>
  <si>
    <t xml:space="preserve">AC,XR</t>
  </si>
  <si>
    <t xml:space="preserve">$FFC9</t>
  </si>
  <si>
    <t xml:space="preserve">CHKOUT</t>
  </si>
  <si>
    <t xml:space="preserve">Open channel for output (put logical file # in XR)</t>
  </si>
  <si>
    <t xml:space="preserve">$FFCF</t>
  </si>
  <si>
    <t xml:space="preserve">CHRIN</t>
  </si>
  <si>
    <t xml:space="preserve">Input char from channel to AC</t>
  </si>
  <si>
    <t xml:space="preserve">AC</t>
  </si>
  <si>
    <t xml:space="preserve">$FFD2</t>
  </si>
  <si>
    <t xml:space="preserve">CHROUT</t>
  </si>
  <si>
    <t xml:space="preserve">Output char to channel from AC</t>
  </si>
  <si>
    <t xml:space="preserve">$FFE7</t>
  </si>
  <si>
    <t xml:space="preserve">CLALL</t>
  </si>
  <si>
    <t xml:space="preserve">Close all channels and files</t>
  </si>
  <si>
    <t xml:space="preserve">--</t>
  </si>
  <si>
    <t xml:space="preserve">$FFC3</t>
  </si>
  <si>
    <t xml:space="preserve">CLOSE</t>
  </si>
  <si>
    <t xml:space="preserve">Close a specified logical file in AC</t>
  </si>
  <si>
    <t xml:space="preserve">$FFCC</t>
  </si>
  <si>
    <t xml:space="preserve">CLRCHN</t>
  </si>
  <si>
    <t xml:space="preserve">Close input and output channels</t>
  </si>
  <si>
    <t xml:space="preserve">$FFE4</t>
  </si>
  <si>
    <t xml:space="preserve">GETIN</t>
  </si>
  <si>
    <t xml:space="preserve">Get char from keyboard buffer into AC (0=no char)</t>
  </si>
  <si>
    <t xml:space="preserve">$FF99</t>
  </si>
  <si>
    <t xml:space="preserve">MEMTOP</t>
  </si>
  <si>
    <t xml:space="preserve">Gets or Sets the top of RAM - SEC gets, and CLC sets</t>
  </si>
  <si>
    <t xml:space="preserve">XR,YR</t>
  </si>
  <si>
    <t xml:space="preserve">JSR MEMTOP</t>
  </si>
  <si>
    <t xml:space="preserve">$FFC0</t>
  </si>
  <si>
    <t xml:space="preserve">OPEN</t>
  </si>
  <si>
    <t xml:space="preserve">Open a logical file (call SETLFS and SETNAM first)</t>
  </si>
  <si>
    <t xml:space="preserve">AC,XR,YR</t>
  </si>
  <si>
    <t xml:space="preserve">SETLFS</t>
  </si>
  <si>
    <t xml:space="preserve">Set logical, first and second addresses (used with OPEN)</t>
  </si>
  <si>
    <t xml:space="preserve">AC = logical file #, XR = device #, YR = command</t>
  </si>
  <si>
    <t xml:space="preserve">Devices:</t>
  </si>
  <si>
    <t xml:space="preserve">0 = Keyboard</t>
  </si>
  <si>
    <t xml:space="preserve">1 = Cassette</t>
  </si>
  <si>
    <t xml:space="preserve">2 = RS-232C (Modem)</t>
  </si>
  <si>
    <t xml:space="preserve">3 = CRT Display</t>
  </si>
  <si>
    <t xml:space="preserve">4 = Serial Bus Printer</t>
  </si>
  <si>
    <t xml:space="preserve">8 = Serial Bus Disk Drive</t>
  </si>
  <si>
    <t xml:space="preserve">SETNAM</t>
  </si>
  <si>
    <t xml:space="preserve">Set file name (used with OPEN)</t>
  </si>
  <si>
    <t xml:space="preserve">AC = length of name</t>
  </si>
  <si>
    <t xml:space="preserve">XR = low order address of name</t>
  </si>
  <si>
    <t xml:space="preserve">YR = high order address of name</t>
  </si>
  <si>
    <t xml:space="preserve">$FFB7</t>
  </si>
  <si>
    <t xml:space="preserve">READST</t>
  </si>
  <si>
    <t xml:space="preserve">Read status word into AC</t>
  </si>
  <si>
    <t xml:space="preserve">0 - 1 = Time Out</t>
  </si>
  <si>
    <t xml:space="preserve">1 - 2 = Time Out</t>
  </si>
  <si>
    <t xml:space="preserve">2 - 4 = Short Block</t>
  </si>
  <si>
    <t xml:space="preserve">3 - 8 = Long Block</t>
  </si>
  <si>
    <t xml:space="preserve">4 - 16 = Unrecoverable Read Error</t>
  </si>
  <si>
    <t xml:space="preserve">5 - 32 = Checksum Error</t>
  </si>
  <si>
    <t xml:space="preserve">6 - 64 = End of File</t>
  </si>
  <si>
    <t xml:space="preserve">7 - -128 = End of Tape / Device Not Present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</si>
</sst>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0.00E+00"/>
  </numFmts>
  <fonts count="8">
    <font>
      <sz val="10"/>
      <name val="Courier New"/>
      <family val="3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9"/>
      <color rgb="FFFFFFFF"/>
      <name val="Courier New"/>
      <family val="3"/>
      <charset val="1"/>
    </font>
    <font>
      <b val="true"/>
      <sz val="10"/>
      <color rgb="FFFFFFFF"/>
      <name val="Courier New"/>
      <family val="3"/>
      <charset val="1"/>
    </font>
    <font>
      <sz val="12"/>
      <name val="Times New Roman"/>
      <family val="0"/>
    </font>
    <font>
      <sz val="9"/>
      <name val="Courier New"/>
      <family val="3"/>
      <charset val="1"/>
    </font>
  </fonts>
  <fills count="5">
    <fill>
      <patternFill patternType="none"/>
    </fill>
    <fill>
      <patternFill patternType="gray125"/>
    </fill>
    <fill>
      <patternFill patternType="solid">
        <fgColor rgb="FF333333"/>
        <bgColor rgb="FF333300"/>
      </patternFill>
    </fill>
    <fill>
      <patternFill patternType="solid">
        <fgColor rgb="FF000000"/>
        <bgColor rgb="FF003300"/>
      </patternFill>
    </fill>
    <fill>
      <patternFill patternType="solid">
        <fgColor rgb="FFDDDDDD"/>
        <bgColor rgb="FFCCFFCC"/>
      </patternFill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4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5" fillId="3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0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7</xdr:col>
      <xdr:colOff>2049480</xdr:colOff>
      <xdr:row>9</xdr:row>
      <xdr:rowOff>47880</xdr:rowOff>
    </xdr:from>
    <xdr:to>
      <xdr:col>8</xdr:col>
      <xdr:colOff>69840</xdr:colOff>
      <xdr:row>14</xdr:row>
      <xdr:rowOff>28080</xdr:rowOff>
    </xdr:to>
    <xdr:sp>
      <xdr:nvSpPr>
        <xdr:cNvPr id="1" name="Text Frame 1"/>
        <xdr:cNvSpPr/>
      </xdr:nvSpPr>
      <xdr:spPr>
        <a:xfrm>
          <a:off x="8804520" y="1590840"/>
          <a:ext cx="2526480" cy="837720"/>
        </a:xfrm>
        <a:prstGeom prst="rect">
          <a:avLst/>
        </a:prstGeom>
        <a:solidFill>
          <a:srgbClr val="ffffd7"/>
        </a:solidFill>
        <a:ln w="0">
          <a:noFill/>
        </a:ln>
      </xdr:spPr>
      <xdr:style>
        <a:lnRef idx="0"/>
        <a:fillRef idx="0"/>
        <a:effectRef idx="0"/>
        <a:fontRef idx="minor"/>
      </xdr:style>
      <xdr:txBody>
        <a:bodyPr lIns="0" rIns="0" tIns="0" bIns="0" anchor="t">
          <a:noAutofit/>
        </a:bodyPr>
        <a:p>
          <a:pPr>
            <a:lnSpc>
              <a:spcPct val="100000"/>
            </a:lnSpc>
          </a:pPr>
          <a:r>
            <a:rPr b="0" lang="en-CA" sz="1200" strike="noStrike" u="none">
              <a:effectLst/>
              <a:uFillTx/>
              <a:latin typeface="Times New Roman"/>
            </a:rPr>
            <a:t>NOTE: When you save this on the VIC, you need to restart VICE for it to work properly!!!</a:t>
          </a:r>
          <a:endParaRPr b="0" lang="en-CA" sz="1200" strike="noStrike" u="none">
            <a:effectLst/>
            <a:uFillTx/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5" activePane="bottomLeft" state="frozen"/>
      <selection pane="topLeft" activeCell="A1" activeCellId="0" sqref="A1"/>
      <selection pane="bottomLeft" activeCell="B57" activeCellId="0" sqref="B57"/>
    </sheetView>
  </sheetViews>
  <sheetFormatPr defaultColWidth="8.50390625" defaultRowHeight="13.5" customHeight="true" zeroHeight="false" outlineLevelRow="0" outlineLevelCol="0"/>
  <cols>
    <col collapsed="false" customWidth="false" hidden="false" outlineLevel="0" max="2" min="1" style="1" width="8.5"/>
    <col collapsed="false" customWidth="true" hidden="false" outlineLevel="0" max="3" min="3" style="1" width="25.89"/>
    <col collapsed="false" customWidth="true" hidden="false" outlineLevel="0" max="4" min="4" style="1" width="14.63"/>
    <col collapsed="false" customWidth="false" hidden="false" outlineLevel="0" max="5" min="5" style="1" width="8.5"/>
    <col collapsed="false" customWidth="true" hidden="false" outlineLevel="0" max="6" min="6" style="1" width="14.14"/>
    <col collapsed="false" customWidth="false" hidden="false" outlineLevel="0" max="7" min="7" style="1" width="8.5"/>
    <col collapsed="false" customWidth="true" hidden="false" outlineLevel="0" max="8" min="8" style="1" width="59.14"/>
  </cols>
  <sheetData>
    <row r="1" customFormat="false" ht="13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customFormat="false" ht="13.5" hidden="false" customHeight="false" outlineLevel="0" collapsed="false">
      <c r="A2" s="1" t="s">
        <v>8</v>
      </c>
      <c r="B2" s="1" t="n">
        <f aca="false">HEX2DEC(A2)</f>
        <v>40960</v>
      </c>
      <c r="C2" s="3" t="s">
        <v>9</v>
      </c>
      <c r="D2" s="1" t="s">
        <v>10</v>
      </c>
      <c r="E2" s="1" t="s">
        <v>11</v>
      </c>
      <c r="F2" s="1" t="s">
        <v>12</v>
      </c>
      <c r="H2" s="1" t="s">
        <v>13</v>
      </c>
    </row>
    <row r="3" customFormat="false" ht="13.5" hidden="false" customHeight="false" outlineLevel="0" collapsed="false">
      <c r="A3" s="1" t="s">
        <v>14</v>
      </c>
      <c r="B3" s="1" t="n">
        <v>40962</v>
      </c>
      <c r="C3" s="3" t="s">
        <v>15</v>
      </c>
      <c r="E3" s="1" t="s">
        <v>16</v>
      </c>
      <c r="F3" s="1" t="s">
        <v>17</v>
      </c>
      <c r="H3" s="1" t="s">
        <v>18</v>
      </c>
    </row>
    <row r="4" customFormat="false" ht="13.5" hidden="false" customHeight="false" outlineLevel="0" collapsed="false">
      <c r="A4" s="1" t="s">
        <v>19</v>
      </c>
      <c r="B4" s="1" t="n">
        <v>40964</v>
      </c>
      <c r="C4" s="3" t="s">
        <v>20</v>
      </c>
      <c r="E4" s="1" t="s">
        <v>21</v>
      </c>
      <c r="F4" s="1" t="s">
        <v>22</v>
      </c>
      <c r="H4" s="1" t="s">
        <v>23</v>
      </c>
    </row>
    <row r="5" customFormat="false" ht="13.5" hidden="false" customHeight="false" outlineLevel="0" collapsed="false">
      <c r="A5" s="1" t="s">
        <v>24</v>
      </c>
      <c r="B5" s="1" t="n">
        <v>40966</v>
      </c>
      <c r="C5" s="3" t="s">
        <v>25</v>
      </c>
      <c r="E5" s="1" t="s">
        <v>26</v>
      </c>
      <c r="F5" s="1" t="s">
        <v>27</v>
      </c>
      <c r="H5" s="1" t="s">
        <v>28</v>
      </c>
    </row>
    <row r="6" customFormat="false" ht="13.5" hidden="false" customHeight="false" outlineLevel="0" collapsed="false">
      <c r="A6" s="1" t="s">
        <v>29</v>
      </c>
      <c r="B6" s="1" t="n">
        <v>40969</v>
      </c>
      <c r="C6" s="3" t="s">
        <v>30</v>
      </c>
      <c r="E6" s="1" t="s">
        <v>11</v>
      </c>
      <c r="F6" s="1" t="s">
        <v>31</v>
      </c>
      <c r="H6" s="1" t="s">
        <v>32</v>
      </c>
    </row>
    <row r="7" customFormat="false" ht="13.5" hidden="false" customHeight="false" outlineLevel="0" collapsed="false">
      <c r="A7" s="1" t="s">
        <v>33</v>
      </c>
      <c r="B7" s="1" t="n">
        <v>40971</v>
      </c>
      <c r="C7" s="3" t="s">
        <v>34</v>
      </c>
      <c r="E7" s="1" t="s">
        <v>35</v>
      </c>
      <c r="F7" s="1" t="s">
        <v>12</v>
      </c>
      <c r="H7" s="1" t="s">
        <v>36</v>
      </c>
    </row>
    <row r="8" customFormat="false" ht="13.5" hidden="false" customHeight="false" outlineLevel="0" collapsed="false">
      <c r="A8" s="1" t="s">
        <v>37</v>
      </c>
      <c r="B8" s="1" t="n">
        <v>40973</v>
      </c>
      <c r="C8" s="3" t="s">
        <v>38</v>
      </c>
      <c r="E8" s="1" t="s">
        <v>39</v>
      </c>
      <c r="F8" s="1" t="s">
        <v>40</v>
      </c>
      <c r="H8" s="1" t="s">
        <v>41</v>
      </c>
    </row>
    <row r="9" customFormat="false" ht="13.5" hidden="false" customHeight="false" outlineLevel="0" collapsed="false">
      <c r="A9" s="1" t="s">
        <v>42</v>
      </c>
      <c r="B9" s="1" t="n">
        <v>40975</v>
      </c>
      <c r="C9" s="3" t="s">
        <v>43</v>
      </c>
      <c r="E9" s="1" t="s">
        <v>35</v>
      </c>
      <c r="F9" s="1" t="s">
        <v>44</v>
      </c>
      <c r="H9" s="1" t="s">
        <v>45</v>
      </c>
    </row>
    <row r="10" customFormat="false" ht="13.5" hidden="false" customHeight="false" outlineLevel="0" collapsed="false">
      <c r="A10" s="1" t="s">
        <v>46</v>
      </c>
      <c r="B10" s="1" t="n">
        <v>40977</v>
      </c>
      <c r="C10" s="3" t="s">
        <v>47</v>
      </c>
      <c r="E10" s="1" t="s">
        <v>39</v>
      </c>
      <c r="F10" s="1" t="s">
        <v>48</v>
      </c>
      <c r="H10" s="1" t="s">
        <v>49</v>
      </c>
    </row>
    <row r="11" customFormat="false" ht="13.5" hidden="false" customHeight="false" outlineLevel="0" collapsed="false">
      <c r="A11" s="1" t="s">
        <v>50</v>
      </c>
      <c r="B11" s="1" t="n">
        <v>40979</v>
      </c>
      <c r="C11" s="3" t="s">
        <v>51</v>
      </c>
      <c r="E11" s="1" t="s">
        <v>35</v>
      </c>
      <c r="F11" s="1" t="s">
        <v>22</v>
      </c>
      <c r="H11" s="1" t="s">
        <v>52</v>
      </c>
    </row>
    <row r="12" customFormat="false" ht="13.5" hidden="false" customHeight="false" outlineLevel="0" collapsed="false">
      <c r="A12" s="1" t="s">
        <v>53</v>
      </c>
      <c r="B12" s="1" t="n">
        <v>40981</v>
      </c>
      <c r="C12" s="3" t="s">
        <v>54</v>
      </c>
      <c r="E12" s="1" t="s">
        <v>39</v>
      </c>
      <c r="F12" s="1" t="s">
        <v>55</v>
      </c>
      <c r="H12" s="1" t="s">
        <v>56</v>
      </c>
    </row>
    <row r="13" customFormat="false" ht="13.5" hidden="false" customHeight="false" outlineLevel="0" collapsed="false">
      <c r="A13" s="1" t="s">
        <v>57</v>
      </c>
      <c r="B13" s="1" t="n">
        <v>40983</v>
      </c>
      <c r="C13" s="3" t="s">
        <v>58</v>
      </c>
      <c r="E13" s="1" t="s">
        <v>35</v>
      </c>
      <c r="F13" s="1" t="s">
        <v>59</v>
      </c>
      <c r="H13" s="1" t="s">
        <v>60</v>
      </c>
    </row>
    <row r="14" customFormat="false" ht="13.5" hidden="false" customHeight="false" outlineLevel="0" collapsed="false">
      <c r="A14" s="1" t="s">
        <v>61</v>
      </c>
      <c r="B14" s="1" t="n">
        <v>40985</v>
      </c>
      <c r="C14" s="3" t="s">
        <v>62</v>
      </c>
      <c r="E14" s="1" t="s">
        <v>39</v>
      </c>
      <c r="F14" s="1" t="s">
        <v>63</v>
      </c>
      <c r="H14" s="1" t="s">
        <v>64</v>
      </c>
    </row>
    <row r="15" customFormat="false" ht="13.5" hidden="false" customHeight="false" outlineLevel="0" collapsed="false">
      <c r="A15" s="1" t="s">
        <v>65</v>
      </c>
      <c r="B15" s="1" t="n">
        <v>40987</v>
      </c>
      <c r="C15" s="3" t="s">
        <v>66</v>
      </c>
      <c r="E15" s="1" t="s">
        <v>35</v>
      </c>
      <c r="F15" s="1" t="s">
        <v>67</v>
      </c>
      <c r="H15" s="1" t="s">
        <v>68</v>
      </c>
    </row>
    <row r="16" customFormat="false" ht="13.5" hidden="false" customHeight="false" outlineLevel="0" collapsed="false">
      <c r="A16" s="1" t="s">
        <v>69</v>
      </c>
      <c r="B16" s="1" t="n">
        <v>40989</v>
      </c>
      <c r="C16" s="3" t="s">
        <v>70</v>
      </c>
      <c r="E16" s="1" t="s">
        <v>39</v>
      </c>
      <c r="F16" s="1" t="s">
        <v>71</v>
      </c>
      <c r="H16" s="1" t="s">
        <v>72</v>
      </c>
    </row>
    <row r="17" customFormat="false" ht="13.5" hidden="false" customHeight="false" outlineLevel="0" collapsed="false">
      <c r="A17" s="1" t="s">
        <v>73</v>
      </c>
      <c r="B17" s="1" t="n">
        <v>40991</v>
      </c>
      <c r="C17" s="3" t="s">
        <v>74</v>
      </c>
      <c r="E17" s="1" t="s">
        <v>35</v>
      </c>
      <c r="F17" s="1" t="s">
        <v>75</v>
      </c>
      <c r="H17" s="1" t="s">
        <v>76</v>
      </c>
    </row>
    <row r="18" customFormat="false" ht="13.5" hidden="false" customHeight="false" outlineLevel="0" collapsed="false">
      <c r="A18" s="1" t="s">
        <v>77</v>
      </c>
      <c r="B18" s="1" t="n">
        <v>40993</v>
      </c>
      <c r="C18" s="3" t="s">
        <v>78</v>
      </c>
      <c r="E18" s="1" t="s">
        <v>39</v>
      </c>
      <c r="F18" s="1" t="s">
        <v>79</v>
      </c>
      <c r="H18" s="1" t="s">
        <v>80</v>
      </c>
    </row>
    <row r="19" customFormat="false" ht="13.5" hidden="false" customHeight="false" outlineLevel="0" collapsed="false">
      <c r="A19" s="1" t="s">
        <v>81</v>
      </c>
      <c r="B19" s="1" t="n">
        <v>40995</v>
      </c>
      <c r="C19" s="3" t="s">
        <v>82</v>
      </c>
      <c r="E19" s="1" t="s">
        <v>83</v>
      </c>
      <c r="H19" s="1" t="s">
        <v>84</v>
      </c>
    </row>
    <row r="20" customFormat="false" ht="13.5" hidden="false" customHeight="false" outlineLevel="0" collapsed="false">
      <c r="A20" s="1" t="s">
        <v>85</v>
      </c>
      <c r="B20" s="1" t="n">
        <v>40996</v>
      </c>
      <c r="C20" s="3" t="s">
        <v>86</v>
      </c>
      <c r="D20" s="1" t="s">
        <v>87</v>
      </c>
      <c r="E20" s="1" t="s">
        <v>11</v>
      </c>
      <c r="F20" s="1" t="s">
        <v>88</v>
      </c>
      <c r="H20" s="1" t="s">
        <v>89</v>
      </c>
    </row>
    <row r="21" customFormat="false" ht="13.5" hidden="false" customHeight="false" outlineLevel="0" collapsed="false">
      <c r="A21" s="1" t="s">
        <v>90</v>
      </c>
      <c r="B21" s="1" t="n">
        <v>40998</v>
      </c>
      <c r="C21" s="3" t="s">
        <v>91</v>
      </c>
      <c r="E21" s="1" t="s">
        <v>16</v>
      </c>
      <c r="F21" s="1" t="s">
        <v>92</v>
      </c>
      <c r="H21" s="1" t="s">
        <v>93</v>
      </c>
    </row>
    <row r="22" customFormat="false" ht="13.5" hidden="false" customHeight="false" outlineLevel="0" collapsed="false">
      <c r="A22" s="1" t="s">
        <v>94</v>
      </c>
      <c r="B22" s="1" t="n">
        <v>41000</v>
      </c>
      <c r="C22" s="3" t="s">
        <v>95</v>
      </c>
      <c r="E22" s="1" t="s">
        <v>21</v>
      </c>
      <c r="F22" s="1" t="s">
        <v>96</v>
      </c>
      <c r="H22" s="1" t="s">
        <v>97</v>
      </c>
    </row>
    <row r="23" customFormat="false" ht="13.5" hidden="false" customHeight="false" outlineLevel="0" collapsed="false">
      <c r="A23" s="1" t="s">
        <v>98</v>
      </c>
      <c r="B23" s="1" t="n">
        <v>41002</v>
      </c>
      <c r="C23" s="3" t="s">
        <v>99</v>
      </c>
      <c r="E23" s="1" t="s">
        <v>100</v>
      </c>
      <c r="F23" s="1" t="s">
        <v>101</v>
      </c>
      <c r="H23" s="1" t="s">
        <v>102</v>
      </c>
    </row>
    <row r="24" customFormat="false" ht="13.5" hidden="false" customHeight="false" outlineLevel="0" collapsed="false">
      <c r="A24" s="1" t="s">
        <v>103</v>
      </c>
      <c r="B24" s="1" t="n">
        <v>41005</v>
      </c>
      <c r="C24" s="3" t="s">
        <v>104</v>
      </c>
      <c r="D24" s="4" t="s">
        <v>105</v>
      </c>
      <c r="E24" s="1" t="s">
        <v>11</v>
      </c>
      <c r="F24" s="1" t="s">
        <v>106</v>
      </c>
      <c r="H24" s="1" t="s">
        <v>107</v>
      </c>
    </row>
    <row r="25" customFormat="false" ht="13.5" hidden="false" customHeight="false" outlineLevel="0" collapsed="false">
      <c r="A25" s="1" t="s">
        <v>108</v>
      </c>
      <c r="B25" s="1" t="n">
        <v>41007</v>
      </c>
      <c r="C25" s="3" t="s">
        <v>109</v>
      </c>
      <c r="E25" s="1" t="s">
        <v>16</v>
      </c>
      <c r="F25" s="1" t="s">
        <v>110</v>
      </c>
      <c r="H25" s="1" t="s">
        <v>111</v>
      </c>
    </row>
    <row r="26" customFormat="false" ht="13.5" hidden="false" customHeight="false" outlineLevel="0" collapsed="false">
      <c r="A26" s="1" t="s">
        <v>112</v>
      </c>
      <c r="B26" s="1" t="n">
        <v>41009</v>
      </c>
      <c r="C26" s="3" t="s">
        <v>95</v>
      </c>
      <c r="E26" s="1" t="s">
        <v>21</v>
      </c>
      <c r="F26" s="1" t="s">
        <v>113</v>
      </c>
      <c r="H26" s="1" t="s">
        <v>114</v>
      </c>
    </row>
    <row r="27" customFormat="false" ht="13.5" hidden="false" customHeight="false" outlineLevel="0" collapsed="false">
      <c r="A27" s="1" t="s">
        <v>115</v>
      </c>
      <c r="B27" s="1" t="n">
        <v>41011</v>
      </c>
      <c r="C27" s="3" t="s">
        <v>99</v>
      </c>
      <c r="E27" s="1" t="s">
        <v>100</v>
      </c>
      <c r="F27" s="1" t="s">
        <v>101</v>
      </c>
      <c r="H27" s="1" t="s">
        <v>102</v>
      </c>
    </row>
    <row r="28" customFormat="false" ht="13.5" hidden="false" customHeight="false" outlineLevel="0" collapsed="false">
      <c r="A28" s="1" t="s">
        <v>116</v>
      </c>
      <c r="B28" s="1" t="n">
        <v>41014</v>
      </c>
      <c r="C28" s="3" t="s">
        <v>117</v>
      </c>
      <c r="D28" s="1" t="s">
        <v>118</v>
      </c>
      <c r="E28" s="1" t="s">
        <v>11</v>
      </c>
      <c r="F28" s="1" t="s">
        <v>119</v>
      </c>
      <c r="H28" s="1" t="s">
        <v>120</v>
      </c>
    </row>
    <row r="29" customFormat="false" ht="13.5" hidden="false" customHeight="false" outlineLevel="0" collapsed="false">
      <c r="A29" s="1" t="s">
        <v>121</v>
      </c>
      <c r="B29" s="1" t="n">
        <v>41016</v>
      </c>
      <c r="C29" s="3" t="s">
        <v>122</v>
      </c>
      <c r="E29" s="1" t="s">
        <v>16</v>
      </c>
      <c r="F29" s="1" t="s">
        <v>123</v>
      </c>
      <c r="H29" s="1" t="s">
        <v>124</v>
      </c>
    </row>
    <row r="30" customFormat="false" ht="13.5" hidden="false" customHeight="false" outlineLevel="0" collapsed="false">
      <c r="A30" s="1" t="s">
        <v>125</v>
      </c>
      <c r="B30" s="1" t="n">
        <v>41018</v>
      </c>
      <c r="C30" s="3" t="s">
        <v>95</v>
      </c>
      <c r="E30" s="1" t="s">
        <v>21</v>
      </c>
      <c r="F30" s="1" t="s">
        <v>126</v>
      </c>
      <c r="H30" s="1" t="s">
        <v>127</v>
      </c>
    </row>
    <row r="31" customFormat="false" ht="13.5" hidden="false" customHeight="false" outlineLevel="0" collapsed="false">
      <c r="A31" s="1" t="s">
        <v>128</v>
      </c>
      <c r="B31" s="1" t="n">
        <v>41020</v>
      </c>
      <c r="C31" s="3" t="s">
        <v>99</v>
      </c>
      <c r="E31" s="1" t="s">
        <v>100</v>
      </c>
      <c r="F31" s="1" t="s">
        <v>101</v>
      </c>
      <c r="H31" s="1" t="s">
        <v>102</v>
      </c>
    </row>
    <row r="32" customFormat="false" ht="13.5" hidden="false" customHeight="false" outlineLevel="0" collapsed="false">
      <c r="A32" s="1" t="s">
        <v>129</v>
      </c>
      <c r="B32" s="1" t="n">
        <v>41023</v>
      </c>
      <c r="C32" s="3" t="s">
        <v>104</v>
      </c>
      <c r="D32" s="1" t="s">
        <v>130</v>
      </c>
      <c r="E32" s="1" t="s">
        <v>11</v>
      </c>
      <c r="F32" s="1" t="s">
        <v>131</v>
      </c>
      <c r="H32" s="1" t="s">
        <v>132</v>
      </c>
    </row>
    <row r="33" customFormat="false" ht="13.5" hidden="false" customHeight="false" outlineLevel="0" collapsed="false">
      <c r="A33" s="1" t="s">
        <v>133</v>
      </c>
      <c r="B33" s="1" t="n">
        <v>41025</v>
      </c>
      <c r="C33" s="3" t="s">
        <v>134</v>
      </c>
      <c r="E33" s="1" t="s">
        <v>16</v>
      </c>
      <c r="F33" s="1" t="s">
        <v>135</v>
      </c>
      <c r="H33" s="1" t="s">
        <v>136</v>
      </c>
    </row>
    <row r="34" customFormat="false" ht="13.5" hidden="false" customHeight="false" outlineLevel="0" collapsed="false">
      <c r="A34" s="1" t="s">
        <v>137</v>
      </c>
      <c r="B34" s="1" t="n">
        <v>41027</v>
      </c>
      <c r="C34" s="3" t="s">
        <v>95</v>
      </c>
      <c r="E34" s="1" t="s">
        <v>21</v>
      </c>
      <c r="F34" s="1" t="s">
        <v>138</v>
      </c>
      <c r="H34" s="1" t="s">
        <v>139</v>
      </c>
    </row>
    <row r="35" customFormat="false" ht="13.5" hidden="false" customHeight="false" outlineLevel="0" collapsed="false">
      <c r="A35" s="1" t="s">
        <v>140</v>
      </c>
      <c r="B35" s="1" t="n">
        <v>41029</v>
      </c>
      <c r="C35" s="3" t="s">
        <v>99</v>
      </c>
      <c r="E35" s="1" t="s">
        <v>100</v>
      </c>
      <c r="F35" s="1" t="s">
        <v>101</v>
      </c>
      <c r="H35" s="1" t="s">
        <v>102</v>
      </c>
    </row>
    <row r="36" customFormat="false" ht="13.5" hidden="false" customHeight="false" outlineLevel="0" collapsed="false">
      <c r="A36" s="1" t="s">
        <v>141</v>
      </c>
      <c r="B36" s="1" t="n">
        <v>41032</v>
      </c>
      <c r="C36" s="3" t="s">
        <v>86</v>
      </c>
      <c r="D36" s="1" t="s">
        <v>142</v>
      </c>
      <c r="E36" s="1" t="s">
        <v>11</v>
      </c>
      <c r="F36" s="1" t="s">
        <v>143</v>
      </c>
      <c r="H36" s="1" t="s">
        <v>144</v>
      </c>
    </row>
    <row r="37" customFormat="false" ht="13.5" hidden="false" customHeight="false" outlineLevel="0" collapsed="false">
      <c r="A37" s="1" t="s">
        <v>145</v>
      </c>
      <c r="B37" s="1" t="n">
        <v>41034</v>
      </c>
      <c r="C37" s="3" t="s">
        <v>146</v>
      </c>
      <c r="E37" s="1" t="s">
        <v>16</v>
      </c>
      <c r="F37" s="1" t="s">
        <v>147</v>
      </c>
      <c r="H37" s="1" t="s">
        <v>148</v>
      </c>
    </row>
    <row r="38" customFormat="false" ht="13.5" hidden="false" customHeight="false" outlineLevel="0" collapsed="false">
      <c r="A38" s="1" t="s">
        <v>149</v>
      </c>
      <c r="B38" s="1" t="n">
        <v>41036</v>
      </c>
      <c r="C38" s="3" t="s">
        <v>95</v>
      </c>
      <c r="E38" s="1" t="s">
        <v>21</v>
      </c>
      <c r="F38" s="1" t="s">
        <v>150</v>
      </c>
      <c r="H38" s="1" t="s">
        <v>151</v>
      </c>
    </row>
    <row r="39" customFormat="false" ht="13.5" hidden="false" customHeight="false" outlineLevel="0" collapsed="false">
      <c r="A39" s="1" t="s">
        <v>152</v>
      </c>
      <c r="B39" s="1" t="n">
        <v>41038</v>
      </c>
      <c r="C39" s="3" t="s">
        <v>99</v>
      </c>
      <c r="E39" s="1" t="s">
        <v>100</v>
      </c>
      <c r="F39" s="1" t="s">
        <v>101</v>
      </c>
      <c r="H39" s="1" t="s">
        <v>102</v>
      </c>
    </row>
    <row r="40" customFormat="false" ht="13.5" hidden="false" customHeight="false" outlineLevel="0" collapsed="false">
      <c r="A40" s="1" t="s">
        <v>153</v>
      </c>
      <c r="B40" s="1" t="n">
        <v>41041</v>
      </c>
      <c r="C40" s="3" t="s">
        <v>104</v>
      </c>
      <c r="D40" s="1" t="s">
        <v>154</v>
      </c>
      <c r="E40" s="1" t="s">
        <v>11</v>
      </c>
      <c r="F40" s="1" t="s">
        <v>155</v>
      </c>
      <c r="H40" s="1" t="s">
        <v>156</v>
      </c>
    </row>
    <row r="41" customFormat="false" ht="13.5" hidden="false" customHeight="false" outlineLevel="0" collapsed="false">
      <c r="A41" s="1" t="s">
        <v>157</v>
      </c>
      <c r="B41" s="1" t="n">
        <v>41043</v>
      </c>
      <c r="C41" s="3" t="s">
        <v>158</v>
      </c>
      <c r="E41" s="1" t="s">
        <v>16</v>
      </c>
      <c r="F41" s="1" t="s">
        <v>159</v>
      </c>
      <c r="H41" s="1" t="s">
        <v>160</v>
      </c>
    </row>
    <row r="42" customFormat="false" ht="13.5" hidden="false" customHeight="false" outlineLevel="0" collapsed="false">
      <c r="A42" s="1" t="s">
        <v>161</v>
      </c>
      <c r="B42" s="1" t="n">
        <v>41045</v>
      </c>
      <c r="C42" s="3" t="s">
        <v>95</v>
      </c>
      <c r="E42" s="1" t="s">
        <v>21</v>
      </c>
      <c r="F42" s="1" t="s">
        <v>162</v>
      </c>
      <c r="H42" s="1" t="s">
        <v>163</v>
      </c>
    </row>
    <row r="43" customFormat="false" ht="13.5" hidden="false" customHeight="false" outlineLevel="0" collapsed="false">
      <c r="A43" s="1" t="s">
        <v>164</v>
      </c>
      <c r="B43" s="1" t="n">
        <v>41047</v>
      </c>
      <c r="C43" s="3" t="s">
        <v>165</v>
      </c>
      <c r="D43" s="1" t="s">
        <v>166</v>
      </c>
      <c r="E43" s="1" t="s">
        <v>26</v>
      </c>
      <c r="F43" s="1" t="s">
        <v>167</v>
      </c>
      <c r="H43" s="1" t="s">
        <v>168</v>
      </c>
    </row>
    <row r="44" customFormat="false" ht="13.5" hidden="false" customHeight="false" outlineLevel="0" collapsed="false">
      <c r="A44" s="1" t="s">
        <v>169</v>
      </c>
      <c r="B44" s="1" t="n">
        <v>41050</v>
      </c>
      <c r="C44" s="3" t="s">
        <v>170</v>
      </c>
      <c r="E44" s="1" t="s">
        <v>11</v>
      </c>
      <c r="F44" s="1" t="s">
        <v>171</v>
      </c>
      <c r="H44" s="1" t="s">
        <v>172</v>
      </c>
    </row>
    <row r="45" customFormat="false" ht="13.5" hidden="false" customHeight="false" outlineLevel="0" collapsed="false">
      <c r="A45" s="1" t="s">
        <v>173</v>
      </c>
      <c r="B45" s="1" t="n">
        <v>41052</v>
      </c>
      <c r="C45" s="3" t="s">
        <v>174</v>
      </c>
      <c r="E45" s="1" t="s">
        <v>26</v>
      </c>
      <c r="F45" s="1" t="s">
        <v>175</v>
      </c>
      <c r="H45" s="1" t="s">
        <v>176</v>
      </c>
    </row>
    <row r="46" customFormat="false" ht="13.5" hidden="false" customHeight="false" outlineLevel="0" collapsed="false">
      <c r="A46" s="1" t="s">
        <v>177</v>
      </c>
      <c r="B46" s="1" t="n">
        <v>41055</v>
      </c>
      <c r="C46" s="3" t="s">
        <v>178</v>
      </c>
      <c r="E46" s="1" t="s">
        <v>100</v>
      </c>
      <c r="F46" s="1" t="s">
        <v>179</v>
      </c>
      <c r="H46" s="1" t="s">
        <v>180</v>
      </c>
    </row>
    <row r="49" customFormat="false" ht="13.5" hidden="false" customHeight="false" outlineLevel="0" collapsed="false">
      <c r="A49" s="2" t="s">
        <v>181</v>
      </c>
      <c r="B49" s="2"/>
      <c r="C49" s="2"/>
      <c r="D49" s="2"/>
      <c r="E49" s="2"/>
      <c r="F49" s="2"/>
      <c r="G49" s="2"/>
      <c r="H49" s="2"/>
    </row>
    <row r="50" customFormat="false" ht="13.5" hidden="false" customHeight="false" outlineLevel="0" collapsed="false">
      <c r="A50" s="2" t="s">
        <v>182</v>
      </c>
      <c r="B50" s="2" t="s">
        <v>183</v>
      </c>
      <c r="C50" s="2" t="s">
        <v>2</v>
      </c>
      <c r="D50" s="2" t="s">
        <v>184</v>
      </c>
      <c r="E50" s="2" t="s">
        <v>185</v>
      </c>
      <c r="F50" s="2" t="s">
        <v>186</v>
      </c>
      <c r="G50" s="2"/>
      <c r="H50" s="2" t="s">
        <v>7</v>
      </c>
    </row>
    <row r="51" customFormat="false" ht="13.5" hidden="false" customHeight="false" outlineLevel="0" collapsed="false">
      <c r="A51" s="1" t="s">
        <v>187</v>
      </c>
      <c r="B51" s="1" t="s">
        <v>188</v>
      </c>
      <c r="C51" s="1" t="s">
        <v>189</v>
      </c>
      <c r="D51" s="1" t="s">
        <v>87</v>
      </c>
      <c r="E51" s="5" t="n">
        <f aca="false">LEN(D51)</f>
        <v>3</v>
      </c>
      <c r="F51" s="1" t="s">
        <v>87</v>
      </c>
    </row>
    <row r="52" customFormat="false" ht="13.5" hidden="false" customHeight="false" outlineLevel="0" collapsed="false">
      <c r="A52" s="1" t="s">
        <v>190</v>
      </c>
      <c r="B52" s="1" t="s">
        <v>191</v>
      </c>
      <c r="C52" s="1" t="s">
        <v>192</v>
      </c>
      <c r="D52" s="1" t="s">
        <v>105</v>
      </c>
      <c r="E52" s="5" t="n">
        <f aca="false">LEN(D52)</f>
        <v>5</v>
      </c>
      <c r="F52" s="4" t="s">
        <v>105</v>
      </c>
      <c r="H52" s="4"/>
    </row>
    <row r="53" customFormat="false" ht="13.5" hidden="false" customHeight="true" outlineLevel="0" collapsed="false">
      <c r="A53" s="1" t="s">
        <v>193</v>
      </c>
      <c r="B53" s="1" t="s">
        <v>194</v>
      </c>
      <c r="C53" s="1" t="s">
        <v>195</v>
      </c>
      <c r="D53" s="1" t="s">
        <v>118</v>
      </c>
      <c r="E53" s="5" t="n">
        <f aca="false">LEN(D53)</f>
        <v>6</v>
      </c>
      <c r="F53" s="1" t="s">
        <v>118</v>
      </c>
    </row>
    <row r="54" customFormat="false" ht="13.5" hidden="false" customHeight="true" outlineLevel="0" collapsed="false">
      <c r="A54" s="1" t="s">
        <v>196</v>
      </c>
      <c r="B54" s="1" t="s">
        <v>197</v>
      </c>
      <c r="C54" s="1" t="s">
        <v>198</v>
      </c>
      <c r="D54" s="1" t="s">
        <v>130</v>
      </c>
      <c r="E54" s="5" t="n">
        <f aca="false">LEN(D54)</f>
        <v>5</v>
      </c>
      <c r="F54" s="1" t="s">
        <v>130</v>
      </c>
    </row>
    <row r="55" customFormat="false" ht="13.5" hidden="false" customHeight="true" outlineLevel="0" collapsed="false">
      <c r="A55" s="1" t="s">
        <v>199</v>
      </c>
      <c r="B55" s="1" t="s">
        <v>200</v>
      </c>
      <c r="C55" s="1" t="s">
        <v>201</v>
      </c>
      <c r="D55" s="1" t="s">
        <v>142</v>
      </c>
      <c r="E55" s="5" t="n">
        <v>3</v>
      </c>
      <c r="F55" s="1" t="s">
        <v>142</v>
      </c>
    </row>
    <row r="56" customFormat="false" ht="13.5" hidden="false" customHeight="true" outlineLevel="0" collapsed="false">
      <c r="A56" s="1" t="str">
        <f aca="false">DEC2HEX(HEX2DEC(B56)-E52+1)</f>
        <v>A0F9</v>
      </c>
      <c r="B56" s="1" t="s">
        <v>202</v>
      </c>
      <c r="C56" s="1" t="s">
        <v>203</v>
      </c>
      <c r="D56" s="1" t="s">
        <v>154</v>
      </c>
      <c r="E56" s="5" t="n">
        <f aca="false">LEN(D56)</f>
        <v>5</v>
      </c>
      <c r="F56" s="1" t="s">
        <v>154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4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A41" activeCellId="0" sqref="A41"/>
    </sheetView>
  </sheetViews>
  <sheetFormatPr defaultColWidth="10.63671875" defaultRowHeight="13.5" customHeight="true" zeroHeight="false" outlineLevelRow="0" outlineLevelCol="0"/>
  <cols>
    <col collapsed="false" customWidth="true" hidden="false" outlineLevel="0" max="1" min="1" style="6" width="55.25"/>
    <col collapsed="false" customWidth="true" hidden="false" outlineLevel="0" max="4" min="2" style="5" width="8.5"/>
    <col collapsed="false" customWidth="false" hidden="false" outlineLevel="0" max="16384" min="5" style="7" width="10.63"/>
  </cols>
  <sheetData>
    <row r="1" customFormat="false" ht="13.5" hidden="false" customHeight="true" outlineLevel="0" collapsed="false">
      <c r="A1" s="8" t="s">
        <v>204</v>
      </c>
    </row>
    <row r="2" customFormat="false" ht="13.5" hidden="false" customHeight="true" outlineLevel="0" collapsed="false">
      <c r="A2" s="6" t="s">
        <v>205</v>
      </c>
    </row>
    <row r="3" customFormat="false" ht="13.5" hidden="false" customHeight="true" outlineLevel="0" collapsed="false">
      <c r="A3" s="6" t="s">
        <v>206</v>
      </c>
    </row>
    <row r="4" customFormat="false" ht="13.5" hidden="false" customHeight="true" outlineLevel="0" collapsed="false">
      <c r="A4" s="6" t="s">
        <v>207</v>
      </c>
    </row>
    <row r="5" customFormat="false" ht="13.5" hidden="false" customHeight="true" outlineLevel="0" collapsed="false">
      <c r="A5" s="6" t="s">
        <v>208</v>
      </c>
      <c r="B5" s="5" t="n">
        <f aca="false">(D5/256-C5)*256</f>
        <v>255</v>
      </c>
      <c r="C5" s="5" t="n">
        <f aca="false">INT(D5/256)</f>
        <v>29</v>
      </c>
      <c r="D5" s="5" t="n">
        <f aca="false">C18</f>
        <v>7679</v>
      </c>
    </row>
    <row r="6" customFormat="false" ht="13.5" hidden="false" customHeight="true" outlineLevel="0" collapsed="false">
      <c r="D6" s="5" t="s">
        <v>209</v>
      </c>
    </row>
    <row r="8" customFormat="false" ht="13.5" hidden="false" customHeight="true" outlineLevel="0" collapsed="false">
      <c r="A8" s="8" t="s">
        <v>210</v>
      </c>
      <c r="B8" s="9" t="s">
        <v>0</v>
      </c>
      <c r="C8" s="9" t="s">
        <v>1</v>
      </c>
      <c r="D8" s="9" t="s">
        <v>211</v>
      </c>
    </row>
    <row r="9" customFormat="false" ht="13.5" hidden="false" customHeight="true" outlineLevel="0" collapsed="false">
      <c r="A9" s="6" t="s">
        <v>212</v>
      </c>
      <c r="B9" s="5" t="n">
        <v>1000</v>
      </c>
      <c r="C9" s="5" t="n">
        <f aca="false">HEX2DEC(B9)</f>
        <v>4096</v>
      </c>
      <c r="D9" s="5" t="n">
        <f aca="false">C10-C9</f>
        <v>13</v>
      </c>
    </row>
    <row r="10" customFormat="false" ht="13.5" hidden="false" customHeight="true" outlineLevel="0" collapsed="false">
      <c r="A10" s="6" t="s">
        <v>213</v>
      </c>
      <c r="B10" s="5" t="s">
        <v>214</v>
      </c>
      <c r="C10" s="5" t="n">
        <f aca="false">HEX2DEC(B10)</f>
        <v>4109</v>
      </c>
      <c r="D10" s="5" t="n">
        <f aca="false">C11-C10</f>
        <v>3058</v>
      </c>
    </row>
    <row r="11" customFormat="false" ht="13.5" hidden="false" customHeight="true" outlineLevel="0" collapsed="false">
      <c r="A11" s="6" t="s">
        <v>215</v>
      </c>
      <c r="B11" s="5" t="s">
        <v>216</v>
      </c>
      <c r="C11" s="5" t="n">
        <f aca="false">HEX2DEC(B11)</f>
        <v>7167</v>
      </c>
      <c r="D11" s="5" t="n">
        <f aca="false">C12-C11</f>
        <v>1</v>
      </c>
    </row>
    <row r="12" customFormat="false" ht="13.5" hidden="false" customHeight="true" outlineLevel="0" collapsed="false">
      <c r="A12" s="6" t="s">
        <v>217</v>
      </c>
      <c r="B12" s="5" t="s">
        <v>218</v>
      </c>
      <c r="C12" s="5" t="n">
        <f aca="false">HEX2DEC(B12)</f>
        <v>7168</v>
      </c>
      <c r="D12" s="5" t="n">
        <f aca="false">C13-C12</f>
        <v>512</v>
      </c>
    </row>
    <row r="13" customFormat="false" ht="13.5" hidden="false" customHeight="true" outlineLevel="0" collapsed="false">
      <c r="A13" s="6" t="s">
        <v>219</v>
      </c>
      <c r="B13" s="5" t="s">
        <v>220</v>
      </c>
      <c r="C13" s="5" t="n">
        <f aca="false">HEX2DEC(B13)</f>
        <v>7680</v>
      </c>
      <c r="D13" s="5" t="n">
        <f aca="false">C13-C9</f>
        <v>3584</v>
      </c>
    </row>
    <row r="15" customFormat="false" ht="13.5" hidden="false" customHeight="true" outlineLevel="0" collapsed="false">
      <c r="A15" s="8" t="s">
        <v>221</v>
      </c>
      <c r="B15" s="9" t="s">
        <v>0</v>
      </c>
      <c r="C15" s="9" t="s">
        <v>1</v>
      </c>
      <c r="D15" s="9" t="s">
        <v>211</v>
      </c>
    </row>
    <row r="16" customFormat="false" ht="13.5" hidden="false" customHeight="true" outlineLevel="0" collapsed="false">
      <c r="A16" s="6" t="s">
        <v>222</v>
      </c>
      <c r="B16" s="5" t="n">
        <v>1200</v>
      </c>
      <c r="C16" s="5" t="n">
        <f aca="false">HEX2DEC(B16)</f>
        <v>4608</v>
      </c>
      <c r="D16" s="5" t="n">
        <f aca="false">C17-C16</f>
        <v>13</v>
      </c>
    </row>
    <row r="17" customFormat="false" ht="13.5" hidden="false" customHeight="true" outlineLevel="0" collapsed="false">
      <c r="A17" s="6" t="s">
        <v>213</v>
      </c>
      <c r="B17" s="5" t="s">
        <v>223</v>
      </c>
      <c r="C17" s="5" t="n">
        <f aca="false">HEX2DEC(B17)</f>
        <v>4621</v>
      </c>
      <c r="D17" s="5" t="n">
        <f aca="false">C18-C17</f>
        <v>3058</v>
      </c>
    </row>
    <row r="18" customFormat="false" ht="13.5" hidden="false" customHeight="true" outlineLevel="0" collapsed="false">
      <c r="A18" s="6" t="s">
        <v>215</v>
      </c>
      <c r="B18" s="5" t="s">
        <v>224</v>
      </c>
      <c r="C18" s="5" t="n">
        <f aca="false">HEX2DEC(B18)</f>
        <v>7679</v>
      </c>
      <c r="D18" s="5" t="n">
        <f aca="false">C19-C18</f>
        <v>24577</v>
      </c>
    </row>
    <row r="19" customFormat="false" ht="13.5" hidden="false" customHeight="true" outlineLevel="0" collapsed="false">
      <c r="A19" s="6" t="s">
        <v>217</v>
      </c>
      <c r="B19" s="5" t="s">
        <v>225</v>
      </c>
      <c r="C19" s="5" t="n">
        <f aca="false">HEX2DEC(B19)</f>
        <v>32256</v>
      </c>
      <c r="D19" s="5" t="n">
        <f aca="false">C20-C19</f>
        <v>512</v>
      </c>
    </row>
    <row r="20" customFormat="false" ht="13.5" hidden="false" customHeight="true" outlineLevel="0" collapsed="false">
      <c r="A20" s="6" t="s">
        <v>219</v>
      </c>
      <c r="B20" s="5" t="s">
        <v>226</v>
      </c>
      <c r="C20" s="5" t="n">
        <f aca="false">HEX2DEC(B20)</f>
        <v>32768</v>
      </c>
      <c r="D20" s="5" t="n">
        <f aca="false">C20-C16</f>
        <v>28160</v>
      </c>
    </row>
    <row r="22" customFormat="false" ht="13.5" hidden="false" customHeight="true" outlineLevel="0" collapsed="false">
      <c r="A22" s="8" t="s">
        <v>227</v>
      </c>
    </row>
    <row r="23" customFormat="false" ht="13.5" hidden="false" customHeight="true" outlineLevel="0" collapsed="false">
      <c r="A23" s="6" t="s">
        <v>228</v>
      </c>
    </row>
    <row r="24" customFormat="false" ht="13.5" hidden="false" customHeight="true" outlineLevel="0" collapsed="false">
      <c r="A24" s="6" t="s">
        <v>229</v>
      </c>
    </row>
    <row r="25" customFormat="false" ht="13.5" hidden="false" customHeight="true" outlineLevel="0" collapsed="false">
      <c r="A25" s="6" t="s">
        <v>230</v>
      </c>
    </row>
    <row r="26" customFormat="false" ht="13.5" hidden="false" customHeight="true" outlineLevel="0" collapsed="false">
      <c r="A26" s="6" t="s">
        <v>231</v>
      </c>
    </row>
    <row r="27" customFormat="false" ht="13.5" hidden="false" customHeight="true" outlineLevel="0" collapsed="false">
      <c r="A27" s="6" t="s">
        <v>232</v>
      </c>
    </row>
    <row r="28" customFormat="false" ht="13.5" hidden="false" customHeight="true" outlineLevel="0" collapsed="false">
      <c r="A28" s="6" t="s">
        <v>233</v>
      </c>
    </row>
    <row r="30" customFormat="false" ht="13.5" hidden="false" customHeight="false" outlineLevel="0" collapsed="false">
      <c r="A30" s="8" t="s">
        <v>234</v>
      </c>
    </row>
    <row r="31" customFormat="false" ht="13.5" hidden="false" customHeight="false" outlineLevel="0" collapsed="false">
      <c r="A31" s="6" t="s">
        <v>235</v>
      </c>
    </row>
    <row r="32" customFormat="false" ht="13.5" hidden="false" customHeight="false" outlineLevel="0" collapsed="false">
      <c r="A32" s="6" t="s">
        <v>236</v>
      </c>
    </row>
    <row r="33" customFormat="false" ht="13.5" hidden="false" customHeight="false" outlineLevel="0" collapsed="false">
      <c r="A33" s="6" t="s">
        <v>237</v>
      </c>
    </row>
    <row r="35" customFormat="false" ht="13.5" hidden="false" customHeight="false" outlineLevel="0" collapsed="false">
      <c r="A35" s="8" t="s">
        <v>238</v>
      </c>
    </row>
    <row r="36" customFormat="false" ht="13.5" hidden="false" customHeight="false" outlineLevel="0" collapsed="false">
      <c r="A36" s="6" t="s">
        <v>239</v>
      </c>
    </row>
    <row r="37" customFormat="false" ht="13.5" hidden="false" customHeight="false" outlineLevel="0" collapsed="false">
      <c r="A37" s="6" t="s">
        <v>240</v>
      </c>
    </row>
    <row r="38" customFormat="false" ht="13.5" hidden="false" customHeight="false" outlineLevel="0" collapsed="false">
      <c r="A38" s="6" t="s">
        <v>241</v>
      </c>
    </row>
    <row r="39" customFormat="false" ht="13.5" hidden="false" customHeight="false" outlineLevel="0" collapsed="false">
      <c r="A39" s="6" t="s">
        <v>242</v>
      </c>
    </row>
    <row r="40" customFormat="false" ht="13.5" hidden="false" customHeight="false" outlineLevel="0" collapsed="false">
      <c r="A40" s="6" t="s">
        <v>243</v>
      </c>
    </row>
    <row r="41" customFormat="false" ht="13.5" hidden="false" customHeight="false" outlineLevel="0" collapsed="false">
      <c r="A41" s="6" t="s">
        <v>244</v>
      </c>
    </row>
    <row r="42" customFormat="false" ht="13.5" hidden="false" customHeight="false" outlineLevel="0" collapsed="false">
      <c r="A42" s="6" t="s">
        <v>245</v>
      </c>
    </row>
    <row r="43" customFormat="false" ht="13.5" hidden="false" customHeight="false" outlineLevel="0" collapsed="false">
      <c r="A43" s="6" t="s">
        <v>246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8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E22" activeCellId="0" sqref="E22"/>
    </sheetView>
  </sheetViews>
  <sheetFormatPr defaultColWidth="8.50390625" defaultRowHeight="13.5" customHeight="true" zeroHeight="false" outlineLevelRow="0" outlineLevelCol="0"/>
  <cols>
    <col collapsed="false" customWidth="true" hidden="false" outlineLevel="0" max="3" min="3" style="6" width="9.25"/>
    <col collapsed="false" customWidth="true" hidden="false" outlineLevel="0" max="6" min="6" style="6" width="44.5"/>
    <col collapsed="false" customWidth="false" hidden="false" outlineLevel="0" max="16384" min="7" style="10" width="8.5"/>
  </cols>
  <sheetData>
    <row r="1" customFormat="false" ht="13.5" hidden="false" customHeight="true" outlineLevel="0" collapsed="false">
      <c r="A1" s="8" t="s">
        <v>247</v>
      </c>
      <c r="B1" s="8"/>
      <c r="C1" s="8"/>
      <c r="D1" s="8"/>
      <c r="E1" s="8"/>
      <c r="F1" s="8"/>
    </row>
    <row r="2" customFormat="false" ht="13.5" hidden="false" customHeight="true" outlineLevel="0" collapsed="false">
      <c r="A2" s="9" t="s">
        <v>182</v>
      </c>
      <c r="B2" s="9" t="s">
        <v>183</v>
      </c>
      <c r="C2" s="9" t="s">
        <v>182</v>
      </c>
      <c r="D2" s="9" t="s">
        <v>183</v>
      </c>
      <c r="E2" s="9" t="s">
        <v>211</v>
      </c>
      <c r="F2" s="9" t="s">
        <v>248</v>
      </c>
    </row>
    <row r="3" customFormat="false" ht="13.5" hidden="false" customHeight="true" outlineLevel="0" collapsed="false">
      <c r="A3" s="5" t="n">
        <v>0</v>
      </c>
      <c r="B3" s="5" t="n">
        <v>827</v>
      </c>
      <c r="C3" s="5" t="str">
        <f aca="false">DEC2HEX(A3)</f>
        <v>0</v>
      </c>
      <c r="D3" s="5" t="str">
        <f aca="false">DEC2HEX(B3)</f>
        <v>33B</v>
      </c>
      <c r="E3" s="5" t="n">
        <f aca="false">B3-A3</f>
        <v>827</v>
      </c>
      <c r="F3" s="5" t="s">
        <v>249</v>
      </c>
    </row>
    <row r="4" customFormat="false" ht="13.5" hidden="false" customHeight="true" outlineLevel="0" collapsed="false">
      <c r="A4" s="5" t="n">
        <v>828</v>
      </c>
      <c r="B4" s="5" t="n">
        <v>1019</v>
      </c>
      <c r="C4" s="5" t="str">
        <f aca="false">DEC2HEX(A4)</f>
        <v>33C</v>
      </c>
      <c r="D4" s="5" t="str">
        <f aca="false">DEC2HEX(B4)</f>
        <v>3FB</v>
      </c>
      <c r="E4" s="5" t="n">
        <f aca="false">B4-A4</f>
        <v>191</v>
      </c>
      <c r="F4" s="5" t="s">
        <v>250</v>
      </c>
    </row>
    <row r="5" customFormat="false" ht="13.5" hidden="false" customHeight="true" outlineLevel="0" collapsed="false">
      <c r="A5" s="5" t="n">
        <v>1020</v>
      </c>
      <c r="B5" s="5" t="n">
        <v>1023</v>
      </c>
      <c r="C5" s="5" t="str">
        <f aca="false">DEC2HEX(A5)</f>
        <v>3FC</v>
      </c>
      <c r="D5" s="5" t="str">
        <f aca="false">DEC2HEX(B5)</f>
        <v>3FF</v>
      </c>
      <c r="E5" s="5" t="n">
        <f aca="false">B5-A5</f>
        <v>3</v>
      </c>
      <c r="F5" s="5" t="s">
        <v>249</v>
      </c>
    </row>
    <row r="6" customFormat="false" ht="13.5" hidden="false" customHeight="true" outlineLevel="0" collapsed="false">
      <c r="A6" s="5" t="n">
        <v>1024</v>
      </c>
      <c r="B6" s="5" t="n">
        <v>4095</v>
      </c>
      <c r="C6" s="5" t="str">
        <f aca="false">DEC2HEX(A6)</f>
        <v>400</v>
      </c>
      <c r="D6" s="5" t="str">
        <f aca="false">DEC2HEX(B6)</f>
        <v>FFF</v>
      </c>
      <c r="E6" s="5" t="n">
        <f aca="false">B6-A6</f>
        <v>3071</v>
      </c>
      <c r="F6" s="5" t="s">
        <v>251</v>
      </c>
    </row>
    <row r="7" customFormat="false" ht="13.5" hidden="false" customHeight="true" outlineLevel="0" collapsed="false">
      <c r="A7" s="5" t="n">
        <v>4096</v>
      </c>
      <c r="B7" s="5" t="n">
        <v>7679</v>
      </c>
      <c r="C7" s="5" t="str">
        <f aca="false">DEC2HEX(A7)</f>
        <v>1000</v>
      </c>
      <c r="D7" s="5" t="str">
        <f aca="false">DEC2HEX(B7)</f>
        <v>1DFF</v>
      </c>
      <c r="E7" s="5" t="n">
        <f aca="false">B7-A7</f>
        <v>3583</v>
      </c>
      <c r="F7" s="5" t="s">
        <v>252</v>
      </c>
    </row>
    <row r="8" customFormat="false" ht="13.5" hidden="false" customHeight="true" outlineLevel="0" collapsed="false">
      <c r="A8" s="5" t="n">
        <v>7680</v>
      </c>
      <c r="B8" s="5" t="n">
        <v>8191</v>
      </c>
      <c r="C8" s="5" t="str">
        <f aca="false">DEC2HEX(A8)</f>
        <v>1E00</v>
      </c>
      <c r="D8" s="5" t="str">
        <f aca="false">DEC2HEX(B8)</f>
        <v>1FFF</v>
      </c>
      <c r="E8" s="5" t="n">
        <f aca="false">B8-A8</f>
        <v>511</v>
      </c>
      <c r="F8" s="5" t="s">
        <v>253</v>
      </c>
    </row>
    <row r="9" customFormat="false" ht="13.5" hidden="false" customHeight="true" outlineLevel="0" collapsed="false">
      <c r="A9" s="5" t="n">
        <v>8192</v>
      </c>
      <c r="B9" s="5" t="n">
        <v>32767</v>
      </c>
      <c r="C9" s="5" t="str">
        <f aca="false">DEC2HEX(A9)</f>
        <v>2000</v>
      </c>
      <c r="D9" s="5" t="str">
        <f aca="false">DEC2HEX(B9)</f>
        <v>7FFF</v>
      </c>
      <c r="E9" s="5" t="n">
        <f aca="false">B9-A9</f>
        <v>24575</v>
      </c>
      <c r="F9" s="5" t="s">
        <v>254</v>
      </c>
    </row>
    <row r="10" customFormat="false" ht="13.5" hidden="false" customHeight="true" outlineLevel="0" collapsed="false">
      <c r="A10" s="5" t="n">
        <v>38400</v>
      </c>
      <c r="B10" s="5" t="n">
        <v>38911</v>
      </c>
      <c r="C10" s="5" t="str">
        <f aca="false">DEC2HEX(A10)</f>
        <v>9600</v>
      </c>
      <c r="D10" s="5" t="str">
        <f aca="false">DEC2HEX(B10)</f>
        <v>97FF</v>
      </c>
      <c r="E10" s="5" t="n">
        <f aca="false">B10-A10</f>
        <v>511</v>
      </c>
      <c r="F10" s="5" t="s">
        <v>255</v>
      </c>
    </row>
    <row r="11" customFormat="false" ht="13.5" hidden="false" customHeight="true" outlineLevel="0" collapsed="false">
      <c r="A11" s="5" t="n">
        <v>32768</v>
      </c>
      <c r="B11" s="5" t="n">
        <v>65535</v>
      </c>
      <c r="C11" s="5" t="str">
        <f aca="false">DEC2HEX(A11)</f>
        <v>8000</v>
      </c>
      <c r="D11" s="5" t="str">
        <f aca="false">DEC2HEX(B11)</f>
        <v>FFFF</v>
      </c>
      <c r="E11" s="5" t="n">
        <f aca="false">B11-A11</f>
        <v>32767</v>
      </c>
      <c r="F11" s="5" t="s">
        <v>256</v>
      </c>
    </row>
    <row r="13" customFormat="false" ht="13.5" hidden="false" customHeight="true" outlineLevel="0" collapsed="false">
      <c r="A13" s="8" t="s">
        <v>257</v>
      </c>
      <c r="B13" s="8"/>
      <c r="C13" s="8"/>
      <c r="D13" s="8"/>
      <c r="E13" s="8"/>
      <c r="F13" s="8"/>
    </row>
    <row r="14" customFormat="false" ht="13.5" hidden="false" customHeight="true" outlineLevel="0" collapsed="false">
      <c r="A14" s="9" t="s">
        <v>182</v>
      </c>
      <c r="B14" s="9" t="s">
        <v>183</v>
      </c>
      <c r="C14" s="9" t="s">
        <v>182</v>
      </c>
      <c r="D14" s="9" t="s">
        <v>183</v>
      </c>
      <c r="E14" s="9" t="s">
        <v>211</v>
      </c>
      <c r="F14" s="9" t="s">
        <v>248</v>
      </c>
    </row>
    <row r="15" customFormat="false" ht="13.5" hidden="false" customHeight="true" outlineLevel="0" collapsed="false">
      <c r="A15" s="5" t="n">
        <v>0</v>
      </c>
      <c r="B15" s="5" t="n">
        <v>827</v>
      </c>
      <c r="C15" s="5" t="str">
        <f aca="false">DEC2HEX(A15)</f>
        <v>0</v>
      </c>
      <c r="D15" s="5" t="str">
        <f aca="false">DEC2HEX(B15)</f>
        <v>33B</v>
      </c>
      <c r="E15" s="5" t="n">
        <f aca="false">B15-A15</f>
        <v>827</v>
      </c>
      <c r="F15" s="5" t="s">
        <v>249</v>
      </c>
    </row>
    <row r="16" customFormat="false" ht="13.5" hidden="false" customHeight="true" outlineLevel="0" collapsed="false">
      <c r="A16" s="5" t="n">
        <v>828</v>
      </c>
      <c r="B16" s="5" t="n">
        <v>1019</v>
      </c>
      <c r="C16" s="5" t="str">
        <f aca="false">DEC2HEX(A16)</f>
        <v>33C</v>
      </c>
      <c r="D16" s="5" t="str">
        <f aca="false">DEC2HEX(B16)</f>
        <v>3FB</v>
      </c>
      <c r="E16" s="5" t="n">
        <f aca="false">B16-A16</f>
        <v>191</v>
      </c>
      <c r="F16" s="5" t="s">
        <v>250</v>
      </c>
    </row>
    <row r="17" customFormat="false" ht="13.5" hidden="false" customHeight="true" outlineLevel="0" collapsed="false">
      <c r="A17" s="5" t="n">
        <v>1020</v>
      </c>
      <c r="B17" s="5" t="n">
        <v>1023</v>
      </c>
      <c r="C17" s="5" t="str">
        <f aca="false">DEC2HEX(A17)</f>
        <v>3FC</v>
      </c>
      <c r="D17" s="5" t="str">
        <f aca="false">DEC2HEX(B17)</f>
        <v>3FF</v>
      </c>
      <c r="E17" s="5" t="n">
        <f aca="false">B17-A17</f>
        <v>3</v>
      </c>
      <c r="F17" s="5" t="s">
        <v>249</v>
      </c>
    </row>
    <row r="18" customFormat="false" ht="13.5" hidden="false" customHeight="true" outlineLevel="0" collapsed="false">
      <c r="A18" s="5" t="n">
        <v>1024</v>
      </c>
      <c r="B18" s="5" t="n">
        <v>4095</v>
      </c>
      <c r="C18" s="5" t="str">
        <f aca="false">DEC2HEX(A18)</f>
        <v>400</v>
      </c>
      <c r="D18" s="5" t="str">
        <f aca="false">DEC2HEX(B18)</f>
        <v>FFF</v>
      </c>
      <c r="E18" s="5" t="n">
        <f aca="false">B18-A18</f>
        <v>3071</v>
      </c>
      <c r="F18" s="5" t="s">
        <v>251</v>
      </c>
    </row>
    <row r="19" customFormat="false" ht="13.5" hidden="false" customHeight="true" outlineLevel="0" collapsed="false">
      <c r="A19" s="5" t="n">
        <v>4096</v>
      </c>
      <c r="B19" s="5" t="n">
        <v>4607</v>
      </c>
      <c r="C19" s="5" t="str">
        <f aca="false">DEC2HEX(A19)</f>
        <v>1000</v>
      </c>
      <c r="D19" s="5" t="str">
        <f aca="false">DEC2HEX(B19)</f>
        <v>11FF</v>
      </c>
      <c r="E19" s="5" t="n">
        <f aca="false">B19-A19</f>
        <v>511</v>
      </c>
      <c r="F19" s="5" t="s">
        <v>253</v>
      </c>
    </row>
    <row r="20" customFormat="false" ht="13.5" hidden="false" customHeight="true" outlineLevel="0" collapsed="false">
      <c r="A20" s="5" t="n">
        <v>4608</v>
      </c>
      <c r="B20" s="5" t="n">
        <v>32767</v>
      </c>
      <c r="C20" s="5" t="str">
        <f aca="false">DEC2HEX(A20)</f>
        <v>1200</v>
      </c>
      <c r="D20" s="5" t="str">
        <f aca="false">DEC2HEX(B20)</f>
        <v>7FFF</v>
      </c>
      <c r="E20" s="5" t="n">
        <f aca="false">B20-A20</f>
        <v>28159</v>
      </c>
      <c r="F20" s="5" t="s">
        <v>258</v>
      </c>
    </row>
    <row r="21" customFormat="false" ht="13.5" hidden="false" customHeight="true" outlineLevel="0" collapsed="false">
      <c r="A21" s="5" t="n">
        <v>8192</v>
      </c>
      <c r="B21" s="5" t="n">
        <v>32767</v>
      </c>
      <c r="C21" s="5" t="str">
        <f aca="false">DEC2HEX(A21)</f>
        <v>2000</v>
      </c>
      <c r="D21" s="5" t="str">
        <f aca="false">DEC2HEX(B21)</f>
        <v>7FFF</v>
      </c>
      <c r="E21" s="5" t="n">
        <f aca="false">B21-A21</f>
        <v>24575</v>
      </c>
      <c r="F21" s="5" t="s">
        <v>254</v>
      </c>
    </row>
    <row r="22" customFormat="false" ht="13.5" hidden="false" customHeight="true" outlineLevel="0" collapsed="false">
      <c r="A22" s="5" t="n">
        <v>37888</v>
      </c>
      <c r="B22" s="5" t="n">
        <v>38399</v>
      </c>
      <c r="C22" s="5" t="str">
        <f aca="false">DEC2HEX(A22)</f>
        <v>9400</v>
      </c>
      <c r="D22" s="5" t="str">
        <f aca="false">DEC2HEX(B22)</f>
        <v>95FF</v>
      </c>
      <c r="E22" s="5" t="n">
        <f aca="false">B22-A22</f>
        <v>511</v>
      </c>
      <c r="F22" s="5" t="s">
        <v>255</v>
      </c>
    </row>
    <row r="23" customFormat="false" ht="13.5" hidden="false" customHeight="true" outlineLevel="0" collapsed="false">
      <c r="A23" s="5" t="n">
        <v>32768</v>
      </c>
      <c r="B23" s="5" t="n">
        <v>65535</v>
      </c>
      <c r="C23" s="5" t="str">
        <f aca="false">DEC2HEX(A23)</f>
        <v>8000</v>
      </c>
      <c r="D23" s="5" t="str">
        <f aca="false">DEC2HEX(B23)</f>
        <v>FFFF</v>
      </c>
      <c r="E23" s="5" t="n">
        <f aca="false">B23-A23</f>
        <v>32767</v>
      </c>
      <c r="F23" s="5" t="s">
        <v>256</v>
      </c>
    </row>
    <row r="24" customFormat="false" ht="13.5" hidden="false" customHeight="true" outlineLevel="0" collapsed="false">
      <c r="A24" s="5"/>
      <c r="B24" s="5"/>
      <c r="C24" s="5"/>
      <c r="D24" s="5"/>
      <c r="E24" s="5"/>
      <c r="F24" s="5"/>
    </row>
    <row r="25" customFormat="false" ht="13.5" hidden="false" customHeight="true" outlineLevel="0" collapsed="false">
      <c r="A25" s="8" t="s">
        <v>259</v>
      </c>
      <c r="B25" s="8"/>
      <c r="C25" s="8"/>
      <c r="D25" s="8"/>
      <c r="E25" s="8"/>
      <c r="F25" s="8"/>
    </row>
    <row r="26" customFormat="false" ht="13.5" hidden="false" customHeight="true" outlineLevel="0" collapsed="false">
      <c r="A26" s="9" t="s">
        <v>182</v>
      </c>
      <c r="B26" s="9" t="s">
        <v>183</v>
      </c>
      <c r="C26" s="9" t="s">
        <v>182</v>
      </c>
      <c r="D26" s="9" t="s">
        <v>183</v>
      </c>
      <c r="E26" s="9" t="s">
        <v>211</v>
      </c>
      <c r="F26" s="9" t="s">
        <v>248</v>
      </c>
    </row>
    <row r="27" customFormat="false" ht="13.5" hidden="false" customHeight="true" outlineLevel="0" collapsed="false">
      <c r="A27" s="5" t="n">
        <v>4608</v>
      </c>
      <c r="B27" s="5" t="n">
        <v>4620</v>
      </c>
      <c r="C27" s="5" t="n">
        <v>1200</v>
      </c>
      <c r="D27" s="5" t="s">
        <v>260</v>
      </c>
      <c r="E27" s="5" t="n">
        <f aca="false">B27-A27</f>
        <v>12</v>
      </c>
      <c r="F27" s="5" t="s">
        <v>261</v>
      </c>
    </row>
    <row r="28" customFormat="false" ht="13.5" hidden="false" customHeight="true" outlineLevel="0" collapsed="false">
      <c r="A28" s="5" t="n">
        <v>4621</v>
      </c>
      <c r="B28" s="5" t="n">
        <v>30207</v>
      </c>
      <c r="C28" s="5" t="s">
        <v>223</v>
      </c>
      <c r="D28" s="5" t="s">
        <v>262</v>
      </c>
      <c r="E28" s="5" t="n">
        <f aca="false">B28-A28</f>
        <v>25586</v>
      </c>
      <c r="F28" s="5" t="s">
        <v>263</v>
      </c>
    </row>
    <row r="29" customFormat="false" ht="13.5" hidden="false" customHeight="true" outlineLevel="0" collapsed="false">
      <c r="A29" s="5" t="n">
        <v>30208</v>
      </c>
      <c r="B29" s="5" t="n">
        <v>32255</v>
      </c>
      <c r="C29" s="5" t="n">
        <v>7600</v>
      </c>
      <c r="D29" s="5" t="s">
        <v>264</v>
      </c>
      <c r="E29" s="5" t="n">
        <f aca="false">B29-A29</f>
        <v>2047</v>
      </c>
      <c r="F29" s="5" t="s">
        <v>265</v>
      </c>
    </row>
    <row r="30" customFormat="false" ht="13.5" hidden="false" customHeight="true" outlineLevel="0" collapsed="false">
      <c r="A30" s="5" t="n">
        <v>32256</v>
      </c>
      <c r="B30" s="5" t="n">
        <v>32767</v>
      </c>
      <c r="C30" s="11" t="s">
        <v>225</v>
      </c>
      <c r="D30" s="5" t="s">
        <v>266</v>
      </c>
      <c r="E30" s="5" t="n">
        <f aca="false">B30-A30</f>
        <v>511</v>
      </c>
      <c r="F30" s="5" t="s">
        <v>267</v>
      </c>
    </row>
    <row r="32" customFormat="false" ht="13.5" hidden="false" customHeight="true" outlineLevel="0" collapsed="false">
      <c r="A32" s="8" t="s">
        <v>268</v>
      </c>
      <c r="B32" s="8"/>
      <c r="C32" s="8"/>
      <c r="D32" s="8"/>
      <c r="E32" s="8"/>
      <c r="F32" s="8"/>
    </row>
    <row r="33" customFormat="false" ht="13.5" hidden="false" customHeight="true" outlineLevel="0" collapsed="false">
      <c r="A33" s="8" t="s">
        <v>182</v>
      </c>
      <c r="B33" s="8" t="s">
        <v>183</v>
      </c>
      <c r="C33" s="8" t="s">
        <v>182</v>
      </c>
      <c r="D33" s="8" t="s">
        <v>183</v>
      </c>
      <c r="E33" s="8"/>
      <c r="F33" s="8" t="s">
        <v>248</v>
      </c>
    </row>
    <row r="34" customFormat="false" ht="13.5" hidden="false" customHeight="true" outlineLevel="0" collapsed="false">
      <c r="A34" s="6" t="n">
        <v>43</v>
      </c>
      <c r="B34" s="6" t="n">
        <v>44</v>
      </c>
      <c r="C34" s="6" t="str">
        <f aca="false">DEC2HEX(A34)</f>
        <v>2B</v>
      </c>
      <c r="D34" s="6" t="str">
        <f aca="false">DEC2HEX(B34)</f>
        <v>2C</v>
      </c>
      <c r="F34" s="6" t="s">
        <v>269</v>
      </c>
    </row>
    <row r="35" customFormat="false" ht="13.5" hidden="false" customHeight="true" outlineLevel="0" collapsed="false">
      <c r="A35" s="6" t="s">
        <v>270</v>
      </c>
    </row>
    <row r="36" customFormat="false" ht="13.5" hidden="false" customHeight="false" outlineLevel="0" collapsed="false">
      <c r="A36" s="6" t="n">
        <v>45</v>
      </c>
      <c r="B36" s="6" t="n">
        <v>46</v>
      </c>
      <c r="C36" s="6" t="str">
        <f aca="false">DEC2HEX(A36)</f>
        <v>2D</v>
      </c>
      <c r="D36" s="6" t="str">
        <f aca="false">DEC2HEX(B36)</f>
        <v>2E</v>
      </c>
      <c r="F36" s="6" t="s">
        <v>271</v>
      </c>
    </row>
    <row r="37" customFormat="false" ht="13.5" hidden="false" customHeight="false" outlineLevel="0" collapsed="false">
      <c r="A37" s="6" t="n">
        <v>47</v>
      </c>
      <c r="B37" s="6" t="n">
        <v>48</v>
      </c>
      <c r="C37" s="6" t="str">
        <f aca="false">DEC2HEX(A37)</f>
        <v>2F</v>
      </c>
      <c r="D37" s="6" t="str">
        <f aca="false">DEC2HEX(B37)</f>
        <v>30</v>
      </c>
      <c r="F37" s="6" t="s">
        <v>272</v>
      </c>
    </row>
    <row r="38" customFormat="false" ht="13.5" hidden="false" customHeight="false" outlineLevel="0" collapsed="false">
      <c r="A38" s="6" t="n">
        <v>49</v>
      </c>
      <c r="B38" s="6" t="n">
        <v>50</v>
      </c>
      <c r="C38" s="6" t="str">
        <f aca="false">DEC2HEX(A38)</f>
        <v>31</v>
      </c>
      <c r="D38" s="6" t="str">
        <f aca="false">DEC2HEX(B38)</f>
        <v>32</v>
      </c>
      <c r="F38" s="6" t="s">
        <v>273</v>
      </c>
    </row>
    <row r="39" customFormat="false" ht="13.5" hidden="false" customHeight="false" outlineLevel="0" collapsed="false">
      <c r="A39" s="6" t="n">
        <v>51</v>
      </c>
      <c r="B39" s="6" t="n">
        <v>52</v>
      </c>
      <c r="C39" s="6" t="str">
        <f aca="false">DEC2HEX(A39)</f>
        <v>33</v>
      </c>
      <c r="D39" s="6" t="str">
        <f aca="false">DEC2HEX(B39)</f>
        <v>34</v>
      </c>
      <c r="F39" s="6" t="s">
        <v>274</v>
      </c>
    </row>
    <row r="40" customFormat="false" ht="13.5" hidden="false" customHeight="false" outlineLevel="0" collapsed="false">
      <c r="A40" s="6" t="n">
        <v>55</v>
      </c>
      <c r="B40" s="6" t="n">
        <v>56</v>
      </c>
      <c r="C40" s="6" t="str">
        <f aca="false">DEC2HEX(A40)</f>
        <v>37</v>
      </c>
      <c r="D40" s="6" t="str">
        <f aca="false">DEC2HEX(B40)</f>
        <v>38</v>
      </c>
      <c r="F40" s="6" t="s">
        <v>275</v>
      </c>
    </row>
    <row r="42" customFormat="false" ht="13.5" hidden="false" customHeight="false" outlineLevel="0" collapsed="false">
      <c r="A42" s="8" t="s">
        <v>276</v>
      </c>
      <c r="B42" s="8"/>
      <c r="C42" s="8"/>
    </row>
    <row r="43" customFormat="false" ht="13.5" hidden="false" customHeight="false" outlineLevel="0" collapsed="false">
      <c r="A43" s="6" t="s">
        <v>277</v>
      </c>
      <c r="B43" s="6" t="s">
        <v>278</v>
      </c>
    </row>
    <row r="44" customFormat="false" ht="13.5" hidden="false" customHeight="false" outlineLevel="0" collapsed="false">
      <c r="A44" s="6" t="s">
        <v>279</v>
      </c>
      <c r="B44" s="6" t="s">
        <v>280</v>
      </c>
    </row>
    <row r="45" customFormat="false" ht="13.5" hidden="false" customHeight="false" outlineLevel="0" collapsed="false">
      <c r="A45" s="6" t="s">
        <v>281</v>
      </c>
      <c r="B45" s="6" t="s">
        <v>282</v>
      </c>
    </row>
    <row r="46" customFormat="false" ht="13.5" hidden="false" customHeight="false" outlineLevel="0" collapsed="false">
      <c r="A46" s="6" t="s">
        <v>283</v>
      </c>
      <c r="B46" s="6" t="s">
        <v>284</v>
      </c>
    </row>
    <row r="47" customFormat="false" ht="13.5" hidden="false" customHeight="false" outlineLevel="0" collapsed="false">
      <c r="A47" s="6" t="s">
        <v>285</v>
      </c>
      <c r="B47" s="6" t="s">
        <v>284</v>
      </c>
    </row>
    <row r="48" customFormat="false" ht="13.5" hidden="false" customHeight="false" outlineLevel="0" collapsed="false">
      <c r="A48" s="6" t="s">
        <v>286</v>
      </c>
      <c r="B48" s="6" t="s">
        <v>287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57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N11" activeCellId="0" sqref="N11"/>
    </sheetView>
  </sheetViews>
  <sheetFormatPr defaultColWidth="8.50390625" defaultRowHeight="13.5" customHeight="true" zeroHeight="false" outlineLevelRow="0" outlineLevelCol="0"/>
  <cols>
    <col collapsed="false" customWidth="true" hidden="false" outlineLevel="0" max="1" min="1" style="6" width="5.75"/>
    <col collapsed="false" customWidth="true" hidden="false" outlineLevel="0" max="2" min="2" style="6" width="29.25"/>
    <col collapsed="false" customWidth="true" hidden="false" outlineLevel="0" max="9" min="3" style="12" width="3.37"/>
    <col collapsed="false" customWidth="true" hidden="false" outlineLevel="0" max="10" min="10" style="6" width="3.5"/>
    <col collapsed="false" customWidth="true" hidden="false" outlineLevel="0" max="11" min="11" style="6" width="6.25"/>
    <col collapsed="false" customWidth="true" hidden="false" outlineLevel="0" max="12" min="12" style="6" width="14.88"/>
    <col collapsed="false" customWidth="true" hidden="false" outlineLevel="0" max="13" min="13" style="6" width="14.75"/>
    <col collapsed="false" customWidth="true" hidden="false" outlineLevel="0" max="14" min="14" style="6" width="5.5"/>
    <col collapsed="false" customWidth="true" hidden="false" outlineLevel="0" max="15" min="15" style="6" width="15.75"/>
    <col collapsed="false" customWidth="true" hidden="false" outlineLevel="0" max="16" min="16" style="6" width="62"/>
    <col collapsed="false" customWidth="false" hidden="false" outlineLevel="0" max="16384" min="17" style="10" width="8.5"/>
  </cols>
  <sheetData>
    <row r="1" customFormat="false" ht="13.5" hidden="false" customHeight="true" outlineLevel="0" collapsed="false">
      <c r="A1" s="8" t="s">
        <v>184</v>
      </c>
      <c r="B1" s="8" t="s">
        <v>288</v>
      </c>
      <c r="C1" s="13" t="s">
        <v>289</v>
      </c>
      <c r="D1" s="13" t="s">
        <v>290</v>
      </c>
      <c r="E1" s="13" t="s">
        <v>291</v>
      </c>
      <c r="F1" s="13" t="s">
        <v>292</v>
      </c>
      <c r="G1" s="13" t="s">
        <v>293</v>
      </c>
      <c r="H1" s="13" t="s">
        <v>294</v>
      </c>
      <c r="I1" s="13" t="s">
        <v>295</v>
      </c>
      <c r="K1" s="8" t="s">
        <v>2</v>
      </c>
      <c r="L1" s="8" t="s">
        <v>296</v>
      </c>
      <c r="M1" s="8" t="s">
        <v>297</v>
      </c>
      <c r="N1" s="8" t="s">
        <v>298</v>
      </c>
      <c r="O1" s="8" t="s">
        <v>299</v>
      </c>
      <c r="P1" s="8" t="s">
        <v>300</v>
      </c>
    </row>
    <row r="2" customFormat="false" ht="13.5" hidden="false" customHeight="true" outlineLevel="0" collapsed="false">
      <c r="A2" s="6" t="s">
        <v>301</v>
      </c>
      <c r="B2" s="6" t="s">
        <v>302</v>
      </c>
      <c r="D2" s="12" t="s">
        <v>303</v>
      </c>
      <c r="E2" s="12" t="s">
        <v>303</v>
      </c>
      <c r="G2" s="12" t="s">
        <v>303</v>
      </c>
      <c r="H2" s="12" t="s">
        <v>303</v>
      </c>
      <c r="I2" s="12" t="s">
        <v>303</v>
      </c>
      <c r="K2" s="6" t="s">
        <v>289</v>
      </c>
      <c r="L2" s="6" t="s">
        <v>304</v>
      </c>
      <c r="M2" s="6" t="s">
        <v>305</v>
      </c>
      <c r="N2" s="5" t="n">
        <v>1</v>
      </c>
      <c r="O2" s="6" t="s">
        <v>306</v>
      </c>
      <c r="P2" s="6" t="s">
        <v>307</v>
      </c>
    </row>
    <row r="3" customFormat="false" ht="13.5" hidden="false" customHeight="true" outlineLevel="0" collapsed="false">
      <c r="A3" s="6" t="s">
        <v>308</v>
      </c>
      <c r="B3" s="6" t="s">
        <v>309</v>
      </c>
      <c r="D3" s="12" t="s">
        <v>303</v>
      </c>
      <c r="E3" s="12" t="s">
        <v>303</v>
      </c>
      <c r="G3" s="12" t="s">
        <v>303</v>
      </c>
      <c r="H3" s="12" t="s">
        <v>303</v>
      </c>
      <c r="I3" s="12" t="s">
        <v>303</v>
      </c>
      <c r="K3" s="6" t="s">
        <v>290</v>
      </c>
      <c r="L3" s="6" t="s">
        <v>310</v>
      </c>
      <c r="M3" s="6" t="s">
        <v>311</v>
      </c>
      <c r="N3" s="5" t="n">
        <v>2</v>
      </c>
      <c r="O3" s="6" t="s">
        <v>312</v>
      </c>
      <c r="P3" s="6" t="s">
        <v>313</v>
      </c>
    </row>
    <row r="4" customFormat="false" ht="13.5" hidden="false" customHeight="true" outlineLevel="0" collapsed="false">
      <c r="A4" s="6" t="s">
        <v>314</v>
      </c>
      <c r="B4" s="6" t="s">
        <v>315</v>
      </c>
      <c r="C4" s="12" t="s">
        <v>303</v>
      </c>
      <c r="E4" s="12" t="s">
        <v>303</v>
      </c>
      <c r="G4" s="12" t="s">
        <v>303</v>
      </c>
      <c r="I4" s="12" t="s">
        <v>303</v>
      </c>
      <c r="K4" s="6" t="s">
        <v>291</v>
      </c>
      <c r="L4" s="6" t="s">
        <v>316</v>
      </c>
      <c r="M4" s="6" t="s">
        <v>317</v>
      </c>
      <c r="N4" s="5" t="n">
        <v>2</v>
      </c>
      <c r="O4" s="6" t="s">
        <v>318</v>
      </c>
      <c r="P4" s="6" t="s">
        <v>319</v>
      </c>
    </row>
    <row r="5" customFormat="false" ht="13.5" hidden="false" customHeight="true" outlineLevel="0" collapsed="false">
      <c r="A5" s="6" t="s">
        <v>320</v>
      </c>
      <c r="B5" s="6" t="s">
        <v>321</v>
      </c>
      <c r="F5" s="12" t="s">
        <v>303</v>
      </c>
      <c r="K5" s="6" t="s">
        <v>322</v>
      </c>
      <c r="L5" s="6" t="s">
        <v>323</v>
      </c>
      <c r="M5" s="6" t="s">
        <v>324</v>
      </c>
      <c r="N5" s="5" t="n">
        <v>2</v>
      </c>
      <c r="O5" s="6" t="s">
        <v>325</v>
      </c>
      <c r="P5" s="6" t="s">
        <v>326</v>
      </c>
    </row>
    <row r="6" customFormat="false" ht="13.5" hidden="false" customHeight="true" outlineLevel="0" collapsed="false">
      <c r="A6" s="6" t="s">
        <v>327</v>
      </c>
      <c r="B6" s="6" t="s">
        <v>328</v>
      </c>
      <c r="F6" s="12" t="s">
        <v>303</v>
      </c>
      <c r="K6" s="6" t="s">
        <v>292</v>
      </c>
      <c r="L6" s="6" t="s">
        <v>329</v>
      </c>
      <c r="M6" s="6" t="s">
        <v>317</v>
      </c>
      <c r="N6" s="5" t="n">
        <v>2</v>
      </c>
      <c r="O6" s="6" t="s">
        <v>330</v>
      </c>
      <c r="P6" s="6" t="s">
        <v>331</v>
      </c>
    </row>
    <row r="7" customFormat="false" ht="13.5" hidden="false" customHeight="true" outlineLevel="0" collapsed="false">
      <c r="A7" s="6" t="s">
        <v>39</v>
      </c>
      <c r="B7" s="6" t="s">
        <v>332</v>
      </c>
      <c r="F7" s="12" t="s">
        <v>303</v>
      </c>
      <c r="K7" s="6" t="s">
        <v>293</v>
      </c>
      <c r="L7" s="6" t="s">
        <v>333</v>
      </c>
      <c r="M7" s="6" t="s">
        <v>317</v>
      </c>
      <c r="N7" s="5" t="n">
        <v>3</v>
      </c>
      <c r="O7" s="6" t="s">
        <v>334</v>
      </c>
      <c r="P7" s="6" t="s">
        <v>335</v>
      </c>
    </row>
    <row r="8" customFormat="false" ht="13.5" hidden="false" customHeight="true" outlineLevel="0" collapsed="false">
      <c r="A8" s="6" t="s">
        <v>336</v>
      </c>
      <c r="B8" s="6" t="s">
        <v>337</v>
      </c>
      <c r="E8" s="12" t="s">
        <v>303</v>
      </c>
      <c r="G8" s="12" t="s">
        <v>303</v>
      </c>
      <c r="K8" s="6" t="s">
        <v>338</v>
      </c>
      <c r="L8" s="6" t="s">
        <v>339</v>
      </c>
      <c r="M8" s="6" t="s">
        <v>324</v>
      </c>
      <c r="N8" s="5" t="n">
        <v>3</v>
      </c>
      <c r="O8" s="6" t="s">
        <v>340</v>
      </c>
      <c r="P8" s="6" t="s">
        <v>341</v>
      </c>
    </row>
    <row r="9" customFormat="false" ht="13.5" hidden="false" customHeight="true" outlineLevel="0" collapsed="false">
      <c r="A9" s="6" t="s">
        <v>342</v>
      </c>
      <c r="B9" s="6" t="s">
        <v>343</v>
      </c>
      <c r="F9" s="12" t="s">
        <v>303</v>
      </c>
      <c r="K9" s="6" t="s">
        <v>338</v>
      </c>
      <c r="L9" s="6" t="s">
        <v>344</v>
      </c>
      <c r="M9" s="6" t="s">
        <v>345</v>
      </c>
      <c r="N9" s="5" t="n">
        <v>3</v>
      </c>
      <c r="O9" s="6" t="s">
        <v>346</v>
      </c>
      <c r="P9" s="6" t="s">
        <v>347</v>
      </c>
    </row>
    <row r="10" customFormat="false" ht="13.5" hidden="false" customHeight="true" outlineLevel="0" collapsed="false">
      <c r="A10" s="6" t="s">
        <v>348</v>
      </c>
      <c r="B10" s="6" t="s">
        <v>349</v>
      </c>
      <c r="F10" s="12" t="s">
        <v>303</v>
      </c>
      <c r="K10" s="6" t="s">
        <v>294</v>
      </c>
      <c r="L10" s="6" t="s">
        <v>350</v>
      </c>
      <c r="M10" s="6" t="s">
        <v>351</v>
      </c>
      <c r="N10" s="5" t="n">
        <v>2</v>
      </c>
      <c r="O10" s="6" t="s">
        <v>352</v>
      </c>
      <c r="P10" s="6" t="s">
        <v>353</v>
      </c>
    </row>
    <row r="11" customFormat="false" ht="13.5" hidden="false" customHeight="true" outlineLevel="0" collapsed="false">
      <c r="A11" s="6" t="s">
        <v>354</v>
      </c>
      <c r="B11" s="6" t="s">
        <v>355</v>
      </c>
      <c r="F11" s="12" t="s">
        <v>303</v>
      </c>
      <c r="K11" s="6" t="s">
        <v>356</v>
      </c>
      <c r="L11" s="6" t="s">
        <v>357</v>
      </c>
      <c r="M11" s="6" t="s">
        <v>358</v>
      </c>
      <c r="N11" s="5" t="n">
        <v>2</v>
      </c>
      <c r="O11" s="6" t="s">
        <v>359</v>
      </c>
      <c r="P11" s="6" t="s">
        <v>360</v>
      </c>
    </row>
    <row r="12" customFormat="false" ht="13.5" hidden="false" customHeight="true" outlineLevel="0" collapsed="false">
      <c r="A12" s="6" t="s">
        <v>361</v>
      </c>
      <c r="B12" s="6" t="s">
        <v>362</v>
      </c>
      <c r="C12" s="12" t="s">
        <v>303</v>
      </c>
      <c r="K12" s="6" t="s">
        <v>363</v>
      </c>
      <c r="L12" s="6" t="s">
        <v>364</v>
      </c>
      <c r="M12" s="6" t="s">
        <v>365</v>
      </c>
      <c r="N12" s="5" t="n">
        <v>2</v>
      </c>
      <c r="O12" s="6" t="s">
        <v>366</v>
      </c>
      <c r="P12" s="6" t="s">
        <v>367</v>
      </c>
    </row>
    <row r="13" customFormat="false" ht="13.5" hidden="false" customHeight="true" outlineLevel="0" collapsed="false">
      <c r="A13" s="6" t="s">
        <v>368</v>
      </c>
      <c r="B13" s="6" t="s">
        <v>369</v>
      </c>
      <c r="F13" s="12" t="s">
        <v>303</v>
      </c>
      <c r="N13" s="5"/>
    </row>
    <row r="14" customFormat="false" ht="13.5" hidden="false" customHeight="true" outlineLevel="0" collapsed="false">
      <c r="A14" s="6" t="s">
        <v>370</v>
      </c>
      <c r="B14" s="6" t="s">
        <v>371</v>
      </c>
      <c r="F14" s="12" t="s">
        <v>303</v>
      </c>
      <c r="K14" s="6" t="s">
        <v>295</v>
      </c>
      <c r="L14" s="6" t="s">
        <v>372</v>
      </c>
      <c r="M14" s="6" t="s">
        <v>324</v>
      </c>
      <c r="N14" s="6" t="s">
        <v>373</v>
      </c>
      <c r="O14" s="6" t="s">
        <v>374</v>
      </c>
    </row>
    <row r="15" customFormat="false" ht="13.5" hidden="false" customHeight="true" outlineLevel="0" collapsed="false">
      <c r="A15" s="6" t="s">
        <v>375</v>
      </c>
      <c r="B15" s="6" t="s">
        <v>376</v>
      </c>
      <c r="C15" s="12" t="s">
        <v>303</v>
      </c>
    </row>
    <row r="16" customFormat="false" ht="13.5" hidden="false" customHeight="true" outlineLevel="0" collapsed="false">
      <c r="A16" s="6" t="s">
        <v>377</v>
      </c>
      <c r="B16" s="6" t="s">
        <v>378</v>
      </c>
      <c r="C16" s="12" t="s">
        <v>303</v>
      </c>
      <c r="K16" s="8" t="s">
        <v>298</v>
      </c>
      <c r="L16" s="8" t="s">
        <v>379</v>
      </c>
      <c r="M16" s="8"/>
      <c r="N16" s="8"/>
      <c r="O16" s="8"/>
      <c r="P16" s="8"/>
    </row>
    <row r="17" customFormat="false" ht="13.5" hidden="false" customHeight="true" outlineLevel="0" collapsed="false">
      <c r="A17" s="6" t="s">
        <v>380</v>
      </c>
      <c r="B17" s="6" t="s">
        <v>381</v>
      </c>
      <c r="C17" s="12" t="s">
        <v>303</v>
      </c>
      <c r="K17" s="6" t="n">
        <v>1</v>
      </c>
      <c r="L17" s="6" t="s">
        <v>382</v>
      </c>
    </row>
    <row r="18" customFormat="false" ht="13.5" hidden="false" customHeight="true" outlineLevel="0" collapsed="false">
      <c r="A18" s="6" t="s">
        <v>383</v>
      </c>
      <c r="B18" s="6" t="s">
        <v>384</v>
      </c>
      <c r="C18" s="12" t="s">
        <v>303</v>
      </c>
      <c r="K18" s="6" t="n">
        <v>2</v>
      </c>
      <c r="L18" s="6" t="s">
        <v>385</v>
      </c>
    </row>
    <row r="19" customFormat="false" ht="13.5" hidden="false" customHeight="true" outlineLevel="0" collapsed="false">
      <c r="A19" s="6" t="s">
        <v>35</v>
      </c>
      <c r="B19" s="6" t="s">
        <v>386</v>
      </c>
      <c r="D19" s="12" t="s">
        <v>303</v>
      </c>
      <c r="E19" s="12" t="s">
        <v>303</v>
      </c>
      <c r="G19" s="12" t="s">
        <v>303</v>
      </c>
      <c r="H19" s="12" t="s">
        <v>303</v>
      </c>
      <c r="I19" s="12" t="s">
        <v>303</v>
      </c>
      <c r="K19" s="6" t="n">
        <v>3</v>
      </c>
      <c r="L19" s="6" t="s">
        <v>387</v>
      </c>
    </row>
    <row r="20" customFormat="false" ht="13.5" hidden="false" customHeight="true" outlineLevel="0" collapsed="false">
      <c r="A20" s="6" t="s">
        <v>388</v>
      </c>
      <c r="B20" s="6" t="s">
        <v>389</v>
      </c>
      <c r="D20" s="12" t="s">
        <v>303</v>
      </c>
      <c r="E20" s="12" t="s">
        <v>303</v>
      </c>
      <c r="G20" s="12" t="s">
        <v>303</v>
      </c>
    </row>
    <row r="21" customFormat="false" ht="13.5" hidden="false" customHeight="true" outlineLevel="0" collapsed="false">
      <c r="A21" s="6" t="s">
        <v>390</v>
      </c>
      <c r="B21" s="6" t="s">
        <v>391</v>
      </c>
      <c r="D21" s="12" t="s">
        <v>303</v>
      </c>
      <c r="E21" s="12" t="s">
        <v>303</v>
      </c>
      <c r="G21" s="12" t="s">
        <v>303</v>
      </c>
    </row>
    <row r="22" customFormat="false" ht="13.5" hidden="false" customHeight="true" outlineLevel="0" collapsed="false">
      <c r="A22" s="6" t="s">
        <v>1</v>
      </c>
      <c r="B22" s="6" t="s">
        <v>392</v>
      </c>
      <c r="E22" s="12" t="s">
        <v>303</v>
      </c>
      <c r="G22" s="12" t="s">
        <v>303</v>
      </c>
      <c r="I22" s="12" t="s">
        <v>303</v>
      </c>
    </row>
    <row r="23" customFormat="false" ht="13.5" hidden="false" customHeight="true" outlineLevel="0" collapsed="false">
      <c r="A23" s="6" t="s">
        <v>393</v>
      </c>
      <c r="B23" s="6" t="s">
        <v>394</v>
      </c>
      <c r="C23" s="12" t="s">
        <v>303</v>
      </c>
    </row>
    <row r="24" customFormat="false" ht="13.5" hidden="false" customHeight="true" outlineLevel="0" collapsed="false">
      <c r="A24" s="6" t="s">
        <v>395</v>
      </c>
      <c r="B24" s="6" t="s">
        <v>396</v>
      </c>
      <c r="C24" s="12" t="s">
        <v>303</v>
      </c>
    </row>
    <row r="25" customFormat="false" ht="13.5" hidden="false" customHeight="true" outlineLevel="0" collapsed="false">
      <c r="A25" s="6" t="s">
        <v>397</v>
      </c>
      <c r="B25" s="6" t="s">
        <v>398</v>
      </c>
      <c r="D25" s="12" t="s">
        <v>303</v>
      </c>
      <c r="E25" s="12" t="s">
        <v>303</v>
      </c>
      <c r="G25" s="12" t="s">
        <v>303</v>
      </c>
      <c r="H25" s="12" t="s">
        <v>303</v>
      </c>
      <c r="I25" s="12" t="s">
        <v>303</v>
      </c>
    </row>
    <row r="26" customFormat="false" ht="13.5" hidden="false" customHeight="true" outlineLevel="0" collapsed="false">
      <c r="A26" s="6" t="s">
        <v>399</v>
      </c>
      <c r="B26" s="6" t="s">
        <v>400</v>
      </c>
      <c r="E26" s="12" t="s">
        <v>303</v>
      </c>
      <c r="G26" s="12" t="s">
        <v>303</v>
      </c>
      <c r="I26" s="12" t="s">
        <v>303</v>
      </c>
    </row>
    <row r="27" customFormat="false" ht="13.5" hidden="false" customHeight="true" outlineLevel="0" collapsed="false">
      <c r="A27" s="6" t="s">
        <v>306</v>
      </c>
      <c r="B27" s="6" t="s">
        <v>401</v>
      </c>
      <c r="C27" s="12" t="s">
        <v>303</v>
      </c>
    </row>
    <row r="28" customFormat="false" ht="13.5" hidden="false" customHeight="true" outlineLevel="0" collapsed="false">
      <c r="A28" s="6" t="s">
        <v>402</v>
      </c>
      <c r="B28" s="6" t="s">
        <v>403</v>
      </c>
      <c r="C28" s="12" t="s">
        <v>303</v>
      </c>
    </row>
    <row r="29" customFormat="false" ht="13.5" hidden="false" customHeight="false" outlineLevel="0" collapsed="false">
      <c r="A29" s="6" t="s">
        <v>100</v>
      </c>
      <c r="B29" s="6" t="s">
        <v>404</v>
      </c>
      <c r="G29" s="12" t="s">
        <v>303</v>
      </c>
      <c r="H29" s="12" t="s">
        <v>303</v>
      </c>
    </row>
    <row r="30" customFormat="false" ht="13.5" hidden="false" customHeight="false" outlineLevel="0" collapsed="false">
      <c r="A30" s="6" t="s">
        <v>26</v>
      </c>
      <c r="B30" s="6" t="s">
        <v>405</v>
      </c>
      <c r="G30" s="12" t="s">
        <v>303</v>
      </c>
    </row>
    <row r="31" customFormat="false" ht="13.5" hidden="false" customHeight="false" outlineLevel="0" collapsed="false">
      <c r="A31" s="6" t="s">
        <v>11</v>
      </c>
      <c r="B31" s="6" t="s">
        <v>406</v>
      </c>
      <c r="D31" s="12" t="s">
        <v>303</v>
      </c>
      <c r="E31" s="12" t="s">
        <v>303</v>
      </c>
      <c r="G31" s="12" t="s">
        <v>303</v>
      </c>
      <c r="H31" s="12" t="s">
        <v>303</v>
      </c>
      <c r="I31" s="12" t="s">
        <v>303</v>
      </c>
    </row>
    <row r="32" customFormat="false" ht="13.5" hidden="false" customHeight="false" outlineLevel="0" collapsed="false">
      <c r="A32" s="6" t="s">
        <v>16</v>
      </c>
      <c r="B32" s="6" t="s">
        <v>407</v>
      </c>
      <c r="D32" s="12" t="s">
        <v>303</v>
      </c>
      <c r="E32" s="12" t="s">
        <v>303</v>
      </c>
      <c r="G32" s="12" t="s">
        <v>303</v>
      </c>
      <c r="I32" s="12" t="s">
        <v>303</v>
      </c>
    </row>
    <row r="33" customFormat="false" ht="13.5" hidden="false" customHeight="false" outlineLevel="0" collapsed="false">
      <c r="A33" s="6" t="s">
        <v>21</v>
      </c>
      <c r="B33" s="6" t="s">
        <v>408</v>
      </c>
      <c r="D33" s="12" t="s">
        <v>303</v>
      </c>
      <c r="E33" s="12" t="s">
        <v>303</v>
      </c>
      <c r="G33" s="12" t="s">
        <v>303</v>
      </c>
      <c r="I33" s="12" t="s">
        <v>303</v>
      </c>
    </row>
    <row r="34" customFormat="false" ht="13.5" hidden="false" customHeight="false" outlineLevel="0" collapsed="false">
      <c r="A34" s="6" t="s">
        <v>409</v>
      </c>
      <c r="B34" s="6" t="s">
        <v>410</v>
      </c>
      <c r="C34" s="12" t="s">
        <v>303</v>
      </c>
      <c r="E34" s="12" t="s">
        <v>303</v>
      </c>
      <c r="G34" s="12" t="s">
        <v>303</v>
      </c>
      <c r="I34" s="12" t="s">
        <v>303</v>
      </c>
    </row>
    <row r="35" customFormat="false" ht="13.5" hidden="false" customHeight="false" outlineLevel="0" collapsed="false">
      <c r="A35" s="6" t="s">
        <v>411</v>
      </c>
      <c r="B35" s="6" t="s">
        <v>412</v>
      </c>
      <c r="C35" s="12" t="s">
        <v>303</v>
      </c>
    </row>
    <row r="36" customFormat="false" ht="13.5" hidden="false" customHeight="false" outlineLevel="0" collapsed="false">
      <c r="A36" s="6" t="s">
        <v>413</v>
      </c>
      <c r="B36" s="6" t="s">
        <v>414</v>
      </c>
      <c r="D36" s="12" t="s">
        <v>303</v>
      </c>
      <c r="E36" s="12" t="s">
        <v>303</v>
      </c>
      <c r="G36" s="12" t="s">
        <v>303</v>
      </c>
      <c r="H36" s="12" t="s">
        <v>303</v>
      </c>
      <c r="I36" s="12" t="s">
        <v>303</v>
      </c>
    </row>
    <row r="37" customFormat="false" ht="13.5" hidden="false" customHeight="false" outlineLevel="0" collapsed="false">
      <c r="A37" s="6" t="s">
        <v>415</v>
      </c>
      <c r="B37" s="6" t="s">
        <v>416</v>
      </c>
      <c r="C37" s="12" t="s">
        <v>303</v>
      </c>
    </row>
    <row r="38" customFormat="false" ht="13.5" hidden="false" customHeight="false" outlineLevel="0" collapsed="false">
      <c r="A38" s="6" t="s">
        <v>417</v>
      </c>
      <c r="B38" s="6" t="s">
        <v>418</v>
      </c>
      <c r="C38" s="12" t="s">
        <v>303</v>
      </c>
    </row>
    <row r="39" customFormat="false" ht="13.5" hidden="false" customHeight="false" outlineLevel="0" collapsed="false">
      <c r="A39" s="6" t="s">
        <v>419</v>
      </c>
      <c r="B39" s="6" t="s">
        <v>420</v>
      </c>
      <c r="C39" s="12" t="s">
        <v>303</v>
      </c>
    </row>
    <row r="40" customFormat="false" ht="13.5" hidden="false" customHeight="false" outlineLevel="0" collapsed="false">
      <c r="A40" s="6" t="s">
        <v>421</v>
      </c>
      <c r="B40" s="6" t="s">
        <v>422</v>
      </c>
      <c r="C40" s="12" t="s">
        <v>303</v>
      </c>
    </row>
    <row r="41" customFormat="false" ht="13.5" hidden="false" customHeight="false" outlineLevel="0" collapsed="false">
      <c r="A41" s="6" t="s">
        <v>423</v>
      </c>
      <c r="B41" s="6" t="s">
        <v>424</v>
      </c>
      <c r="C41" s="12" t="s">
        <v>303</v>
      </c>
      <c r="E41" s="12" t="s">
        <v>303</v>
      </c>
      <c r="G41" s="12" t="s">
        <v>303</v>
      </c>
      <c r="I41" s="12" t="s">
        <v>303</v>
      </c>
    </row>
    <row r="42" customFormat="false" ht="13.5" hidden="false" customHeight="false" outlineLevel="0" collapsed="false">
      <c r="A42" s="6" t="s">
        <v>425</v>
      </c>
      <c r="B42" s="6" t="s">
        <v>426</v>
      </c>
      <c r="C42" s="12" t="s">
        <v>303</v>
      </c>
      <c r="E42" s="12" t="s">
        <v>303</v>
      </c>
      <c r="G42" s="12" t="s">
        <v>303</v>
      </c>
      <c r="I42" s="12" t="s">
        <v>303</v>
      </c>
    </row>
    <row r="43" customFormat="false" ht="13.5" hidden="false" customHeight="false" outlineLevel="0" collapsed="false">
      <c r="A43" s="6" t="s">
        <v>427</v>
      </c>
      <c r="B43" s="6" t="s">
        <v>428</v>
      </c>
      <c r="C43" s="12" t="s">
        <v>303</v>
      </c>
    </row>
    <row r="44" customFormat="false" ht="13.5" hidden="false" customHeight="false" outlineLevel="0" collapsed="false">
      <c r="A44" s="6" t="s">
        <v>83</v>
      </c>
      <c r="B44" s="6" t="s">
        <v>429</v>
      </c>
      <c r="C44" s="12" t="s">
        <v>303</v>
      </c>
    </row>
    <row r="45" customFormat="false" ht="13.5" hidden="false" customHeight="false" outlineLevel="0" collapsed="false">
      <c r="A45" s="6" t="s">
        <v>430</v>
      </c>
      <c r="B45" s="6" t="s">
        <v>431</v>
      </c>
      <c r="D45" s="12" t="s">
        <v>303</v>
      </c>
      <c r="E45" s="12" t="s">
        <v>303</v>
      </c>
      <c r="G45" s="12" t="s">
        <v>303</v>
      </c>
      <c r="H45" s="12" t="s">
        <v>303</v>
      </c>
      <c r="I45" s="12" t="s">
        <v>303</v>
      </c>
    </row>
    <row r="46" customFormat="false" ht="13.5" hidden="false" customHeight="false" outlineLevel="0" collapsed="false">
      <c r="A46" s="6" t="s">
        <v>432</v>
      </c>
      <c r="B46" s="6" t="s">
        <v>433</v>
      </c>
      <c r="C46" s="12" t="s">
        <v>303</v>
      </c>
    </row>
    <row r="47" customFormat="false" ht="13.5" hidden="false" customHeight="false" outlineLevel="0" collapsed="false">
      <c r="A47" s="6" t="s">
        <v>434</v>
      </c>
      <c r="B47" s="6" t="s">
        <v>435</v>
      </c>
      <c r="C47" s="12" t="s">
        <v>303</v>
      </c>
    </row>
    <row r="48" customFormat="false" ht="13.5" hidden="false" customHeight="false" outlineLevel="0" collapsed="false">
      <c r="A48" s="6" t="s">
        <v>436</v>
      </c>
      <c r="B48" s="6" t="s">
        <v>437</v>
      </c>
      <c r="C48" s="12" t="s">
        <v>303</v>
      </c>
    </row>
    <row r="49" customFormat="false" ht="13.5" hidden="false" customHeight="false" outlineLevel="0" collapsed="false">
      <c r="A49" s="6" t="s">
        <v>438</v>
      </c>
      <c r="B49" s="6" t="s">
        <v>439</v>
      </c>
      <c r="E49" s="12" t="s">
        <v>303</v>
      </c>
      <c r="G49" s="12" t="s">
        <v>303</v>
      </c>
      <c r="I49" s="12" t="s">
        <v>303</v>
      </c>
    </row>
    <row r="50" customFormat="false" ht="13.5" hidden="false" customHeight="false" outlineLevel="0" collapsed="false">
      <c r="A50" s="6" t="s">
        <v>440</v>
      </c>
      <c r="B50" s="6" t="s">
        <v>441</v>
      </c>
      <c r="E50" s="12" t="s">
        <v>303</v>
      </c>
      <c r="G50" s="12" t="s">
        <v>303</v>
      </c>
      <c r="I50" s="12" t="s">
        <v>303</v>
      </c>
    </row>
    <row r="51" customFormat="false" ht="13.5" hidden="false" customHeight="false" outlineLevel="0" collapsed="false">
      <c r="A51" s="6" t="s">
        <v>442</v>
      </c>
      <c r="B51" s="6" t="s">
        <v>443</v>
      </c>
      <c r="E51" s="12" t="s">
        <v>303</v>
      </c>
      <c r="G51" s="12" t="s">
        <v>303</v>
      </c>
      <c r="I51" s="12" t="s">
        <v>303</v>
      </c>
    </row>
    <row r="52" customFormat="false" ht="13.5" hidden="false" customHeight="false" outlineLevel="0" collapsed="false">
      <c r="A52" s="6" t="s">
        <v>444</v>
      </c>
      <c r="B52" s="6" t="s">
        <v>445</v>
      </c>
      <c r="C52" s="12" t="s">
        <v>303</v>
      </c>
    </row>
    <row r="53" customFormat="false" ht="13.5" hidden="false" customHeight="false" outlineLevel="0" collapsed="false">
      <c r="A53" s="6" t="s">
        <v>446</v>
      </c>
      <c r="B53" s="6" t="s">
        <v>447</v>
      </c>
      <c r="C53" s="12" t="s">
        <v>303</v>
      </c>
    </row>
    <row r="54" customFormat="false" ht="13.5" hidden="false" customHeight="false" outlineLevel="0" collapsed="false">
      <c r="A54" s="6" t="s">
        <v>448</v>
      </c>
      <c r="B54" s="6" t="s">
        <v>449</v>
      </c>
      <c r="C54" s="12" t="s">
        <v>303</v>
      </c>
    </row>
    <row r="55" customFormat="false" ht="13.5" hidden="false" customHeight="false" outlineLevel="0" collapsed="false">
      <c r="A55" s="6" t="s">
        <v>450</v>
      </c>
      <c r="B55" s="6" t="s">
        <v>451</v>
      </c>
      <c r="C55" s="12" t="s">
        <v>303</v>
      </c>
    </row>
    <row r="56" customFormat="false" ht="13.5" hidden="false" customHeight="false" outlineLevel="0" collapsed="false">
      <c r="A56" s="6" t="s">
        <v>452</v>
      </c>
      <c r="B56" s="6" t="s">
        <v>453</v>
      </c>
      <c r="C56" s="12" t="s">
        <v>303</v>
      </c>
    </row>
    <row r="57" customFormat="false" ht="13.5" hidden="false" customHeight="false" outlineLevel="0" collapsed="false">
      <c r="A57" s="6" t="s">
        <v>454</v>
      </c>
      <c r="B57" s="6" t="s">
        <v>451</v>
      </c>
      <c r="C57" s="12" t="s">
        <v>303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8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C19" activeCellId="0" sqref="C19"/>
    </sheetView>
  </sheetViews>
  <sheetFormatPr defaultColWidth="8.50390625" defaultRowHeight="13.5" customHeight="true" zeroHeight="false" outlineLevelRow="0" outlineLevelCol="0"/>
  <cols>
    <col collapsed="false" customWidth="true" hidden="false" outlineLevel="0" max="3" min="3" style="6" width="54.25"/>
    <col collapsed="false" customWidth="true" hidden="false" outlineLevel="0" max="5" min="4" style="6" width="9.86"/>
    <col collapsed="false" customWidth="false" hidden="false" outlineLevel="0" max="16384" min="6" style="10" width="8.5"/>
  </cols>
  <sheetData>
    <row r="1" customFormat="false" ht="13.5" hidden="false" customHeight="true" outlineLevel="0" collapsed="false">
      <c r="A1" s="8" t="s">
        <v>0</v>
      </c>
      <c r="B1" s="8" t="s">
        <v>184</v>
      </c>
      <c r="C1" s="8" t="s">
        <v>288</v>
      </c>
      <c r="D1" s="8" t="s">
        <v>455</v>
      </c>
      <c r="E1" s="8" t="s">
        <v>456</v>
      </c>
    </row>
    <row r="2" customFormat="false" ht="13.5" hidden="false" customHeight="true" outlineLevel="0" collapsed="false">
      <c r="A2" s="6" t="s">
        <v>457</v>
      </c>
      <c r="B2" s="6" t="s">
        <v>458</v>
      </c>
      <c r="C2" s="6" t="s">
        <v>459</v>
      </c>
      <c r="D2" s="6" t="s">
        <v>460</v>
      </c>
      <c r="E2" s="6" t="s">
        <v>461</v>
      </c>
    </row>
    <row r="3" customFormat="false" ht="13.5" hidden="false" customHeight="true" outlineLevel="0" collapsed="false">
      <c r="A3" s="6" t="s">
        <v>462</v>
      </c>
      <c r="B3" s="6" t="s">
        <v>463</v>
      </c>
      <c r="C3" s="6" t="s">
        <v>464</v>
      </c>
      <c r="D3" s="6" t="s">
        <v>460</v>
      </c>
      <c r="E3" s="6" t="s">
        <v>461</v>
      </c>
    </row>
    <row r="4" customFormat="false" ht="13.5" hidden="false" customHeight="true" outlineLevel="0" collapsed="false">
      <c r="A4" s="6" t="s">
        <v>465</v>
      </c>
      <c r="B4" s="6" t="s">
        <v>466</v>
      </c>
      <c r="C4" s="6" t="s">
        <v>467</v>
      </c>
      <c r="D4" s="6" t="s">
        <v>468</v>
      </c>
      <c r="E4" s="6" t="s">
        <v>461</v>
      </c>
    </row>
    <row r="5" customFormat="false" ht="13.5" hidden="false" customHeight="true" outlineLevel="0" collapsed="false">
      <c r="A5" s="6" t="s">
        <v>469</v>
      </c>
      <c r="B5" s="6" t="s">
        <v>470</v>
      </c>
      <c r="C5" s="6" t="s">
        <v>471</v>
      </c>
      <c r="D5" s="6" t="s">
        <v>468</v>
      </c>
      <c r="E5" s="6" t="s">
        <v>461</v>
      </c>
    </row>
    <row r="6" customFormat="false" ht="13.5" hidden="false" customHeight="true" outlineLevel="0" collapsed="false">
      <c r="A6" s="6" t="s">
        <v>472</v>
      </c>
      <c r="B6" s="6" t="s">
        <v>473</v>
      </c>
      <c r="C6" s="6" t="s">
        <v>474</v>
      </c>
      <c r="D6" s="6" t="s">
        <v>475</v>
      </c>
      <c r="E6" s="6" t="s">
        <v>461</v>
      </c>
    </row>
    <row r="7" customFormat="false" ht="13.5" hidden="false" customHeight="true" outlineLevel="0" collapsed="false">
      <c r="A7" s="6" t="s">
        <v>476</v>
      </c>
      <c r="B7" s="6" t="s">
        <v>477</v>
      </c>
      <c r="C7" s="6" t="s">
        <v>478</v>
      </c>
      <c r="D7" s="6" t="s">
        <v>468</v>
      </c>
      <c r="E7" s="6" t="s">
        <v>461</v>
      </c>
    </row>
    <row r="8" customFormat="false" ht="13.5" hidden="false" customHeight="true" outlineLevel="0" collapsed="false">
      <c r="A8" s="6" t="s">
        <v>479</v>
      </c>
      <c r="B8" s="6" t="s">
        <v>480</v>
      </c>
      <c r="C8" s="6" t="s">
        <v>481</v>
      </c>
      <c r="D8" s="6" t="s">
        <v>475</v>
      </c>
      <c r="E8" s="6" t="s">
        <v>461</v>
      </c>
    </row>
    <row r="9" customFormat="false" ht="13.5" hidden="false" customHeight="true" outlineLevel="0" collapsed="false">
      <c r="A9" s="6" t="s">
        <v>482</v>
      </c>
      <c r="B9" s="6" t="s">
        <v>483</v>
      </c>
      <c r="C9" s="6" t="s">
        <v>484</v>
      </c>
      <c r="D9" s="6" t="s">
        <v>468</v>
      </c>
      <c r="E9" s="6" t="s">
        <v>461</v>
      </c>
    </row>
    <row r="10" customFormat="false" ht="13.5" hidden="false" customHeight="true" outlineLevel="0" collapsed="false">
      <c r="A10" s="6" t="s">
        <v>485</v>
      </c>
      <c r="B10" s="6" t="s">
        <v>486</v>
      </c>
      <c r="C10" s="6" t="s">
        <v>487</v>
      </c>
      <c r="D10" s="6" t="s">
        <v>488</v>
      </c>
      <c r="E10" s="6" t="s">
        <v>488</v>
      </c>
    </row>
    <row r="11" customFormat="false" ht="13.5" hidden="false" customHeight="true" outlineLevel="0" collapsed="false">
      <c r="C11" s="6" t="s">
        <v>432</v>
      </c>
    </row>
    <row r="12" customFormat="false" ht="13.5" hidden="false" customHeight="true" outlineLevel="0" collapsed="false">
      <c r="C12" s="6" t="s">
        <v>489</v>
      </c>
    </row>
    <row r="13" customFormat="false" ht="13.5" hidden="false" customHeight="true" outlineLevel="0" collapsed="false">
      <c r="C13" s="6" t="s">
        <v>393</v>
      </c>
    </row>
    <row r="14" customFormat="false" ht="13.5" hidden="false" customHeight="true" outlineLevel="0" collapsed="false">
      <c r="C14" s="6" t="s">
        <v>375</v>
      </c>
    </row>
    <row r="15" customFormat="false" ht="13.5" hidden="false" customHeight="true" outlineLevel="0" collapsed="false">
      <c r="C15" s="6" t="s">
        <v>489</v>
      </c>
    </row>
    <row r="16" customFormat="false" ht="13.5" hidden="false" customHeight="true" outlineLevel="0" collapsed="false">
      <c r="A16" s="6" t="s">
        <v>490</v>
      </c>
      <c r="B16" s="6" t="s">
        <v>491</v>
      </c>
      <c r="C16" s="6" t="s">
        <v>492</v>
      </c>
      <c r="D16" s="6" t="s">
        <v>475</v>
      </c>
      <c r="E16" s="6" t="s">
        <v>493</v>
      </c>
    </row>
    <row r="17" customFormat="false" ht="13.5" hidden="false" customHeight="true" outlineLevel="0" collapsed="false">
      <c r="A17" s="6" t="s">
        <v>27</v>
      </c>
      <c r="B17" s="6" t="s">
        <v>494</v>
      </c>
      <c r="C17" s="6" t="s">
        <v>495</v>
      </c>
      <c r="D17" s="6" t="s">
        <v>493</v>
      </c>
      <c r="E17" s="6" t="s">
        <v>475</v>
      </c>
    </row>
    <row r="18" customFormat="false" ht="13.5" hidden="false" customHeight="true" outlineLevel="0" collapsed="false">
      <c r="C18" s="6" t="s">
        <v>496</v>
      </c>
    </row>
    <row r="19" customFormat="false" ht="13.5" hidden="false" customHeight="true" outlineLevel="0" collapsed="false">
      <c r="C19" s="6" t="s">
        <v>497</v>
      </c>
    </row>
    <row r="20" customFormat="false" ht="13.5" hidden="false" customHeight="true" outlineLevel="0" collapsed="false">
      <c r="C20" s="6" t="s">
        <v>498</v>
      </c>
    </row>
    <row r="21" customFormat="false" ht="13.5" hidden="false" customHeight="true" outlineLevel="0" collapsed="false">
      <c r="C21" s="6" t="s">
        <v>499</v>
      </c>
    </row>
    <row r="22" customFormat="false" ht="13.5" hidden="false" customHeight="true" outlineLevel="0" collapsed="false">
      <c r="C22" s="6" t="s">
        <v>500</v>
      </c>
    </row>
    <row r="23" customFormat="false" ht="13.5" hidden="false" customHeight="true" outlineLevel="0" collapsed="false">
      <c r="C23" s="6" t="s">
        <v>501</v>
      </c>
    </row>
    <row r="24" customFormat="false" ht="13.5" hidden="false" customHeight="true" outlineLevel="0" collapsed="false">
      <c r="C24" s="6" t="s">
        <v>502</v>
      </c>
    </row>
    <row r="25" customFormat="false" ht="13.5" hidden="false" customHeight="true" outlineLevel="0" collapsed="false">
      <c r="C25" s="6" t="s">
        <v>503</v>
      </c>
    </row>
    <row r="26" customFormat="false" ht="13.5" hidden="false" customHeight="true" outlineLevel="0" collapsed="false">
      <c r="A26" s="6" t="s">
        <v>167</v>
      </c>
      <c r="B26" s="6" t="s">
        <v>504</v>
      </c>
      <c r="C26" s="6" t="s">
        <v>505</v>
      </c>
      <c r="D26" s="6" t="s">
        <v>493</v>
      </c>
      <c r="E26" s="6" t="s">
        <v>475</v>
      </c>
    </row>
    <row r="27" customFormat="false" ht="13.5" hidden="false" customHeight="true" outlineLevel="0" collapsed="false">
      <c r="C27" s="6" t="s">
        <v>506</v>
      </c>
    </row>
    <row r="28" customFormat="false" ht="13.5" hidden="false" customHeight="true" outlineLevel="0" collapsed="false">
      <c r="C28" s="6" t="s">
        <v>507</v>
      </c>
    </row>
    <row r="29" customFormat="false" ht="13.5" hidden="false" customHeight="false" outlineLevel="0" collapsed="false">
      <c r="C29" s="6" t="s">
        <v>508</v>
      </c>
    </row>
    <row r="30" customFormat="false" ht="13.5" hidden="false" customHeight="false" outlineLevel="0" collapsed="false">
      <c r="A30" s="6" t="s">
        <v>509</v>
      </c>
      <c r="B30" s="6" t="s">
        <v>510</v>
      </c>
      <c r="C30" s="6" t="s">
        <v>511</v>
      </c>
      <c r="D30" s="6" t="s">
        <v>468</v>
      </c>
      <c r="E30" s="6" t="s">
        <v>468</v>
      </c>
    </row>
    <row r="31" customFormat="false" ht="13.5" hidden="false" customHeight="false" outlineLevel="0" collapsed="false">
      <c r="C31" s="6" t="s">
        <v>512</v>
      </c>
    </row>
    <row r="32" customFormat="false" ht="13.5" hidden="false" customHeight="false" outlineLevel="0" collapsed="false">
      <c r="C32" s="6" t="s">
        <v>513</v>
      </c>
    </row>
    <row r="33" customFormat="false" ht="13.5" hidden="false" customHeight="false" outlineLevel="0" collapsed="false">
      <c r="C33" s="6" t="s">
        <v>514</v>
      </c>
    </row>
    <row r="34" customFormat="false" ht="13.5" hidden="false" customHeight="false" outlineLevel="0" collapsed="false">
      <c r="C34" s="6" t="s">
        <v>515</v>
      </c>
    </row>
    <row r="35" customFormat="false" ht="13.5" hidden="false" customHeight="false" outlineLevel="0" collapsed="false">
      <c r="C35" s="6" t="s">
        <v>516</v>
      </c>
    </row>
    <row r="36" customFormat="false" ht="13.5" hidden="false" customHeight="false" outlineLevel="0" collapsed="false">
      <c r="C36" s="6" t="s">
        <v>517</v>
      </c>
    </row>
    <row r="37" customFormat="false" ht="13.5" hidden="false" customHeight="false" outlineLevel="0" collapsed="false">
      <c r="C37" s="6" t="s">
        <v>518</v>
      </c>
    </row>
    <row r="38" customFormat="false" ht="13.5" hidden="false" customHeight="false" outlineLevel="0" collapsed="false">
      <c r="C38" s="6" t="s">
        <v>519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2534</TotalTime>
  <Application>LibreOffice/25.8.3.2$Linux_X86_64 LibreOffice_project/8ca8d55c161d602844f5428fa4b58097424e324e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2023-09-25T14:47:14Z</dcterms:created>
  <dc:creator>Rick Towns</dc:creator>
  <dc:description/>
  <dc:language>en-CA</dc:language>
  <cp:lastModifiedBy/>
  <dcterms:modified xsi:type="dcterms:W3CDTF">2025-11-27T09:36:25Z</dcterms:modified>
  <cp:revision>337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